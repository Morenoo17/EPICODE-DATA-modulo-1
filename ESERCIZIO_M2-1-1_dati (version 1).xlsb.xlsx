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\Desktop\EPICODE\ESERCIZI\"/>
    </mc:Choice>
  </mc:AlternateContent>
  <xr:revisionPtr revIDLastSave="0" documentId="8_{365DF558-AC0A-4160-BAA9-B9CF9A810D31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Assoluti_Iva!$F$1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2" i="3"/>
  <c r="I3" i="3"/>
  <c r="I2" i="3"/>
  <c r="I4" i="3"/>
  <c r="I5" i="3"/>
  <c r="H3" i="3"/>
  <c r="H4" i="3"/>
  <c r="H5" i="3"/>
  <c r="H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2" i="3"/>
  <c r="C2" i="2"/>
  <c r="C3" i="2"/>
  <c r="C4" i="2"/>
  <c r="C5" i="2"/>
  <c r="C6" i="2"/>
  <c r="C7" i="2"/>
  <c r="C8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</calcChain>
</file>

<file path=xl/sharedStrings.xml><?xml version="1.0" encoding="utf-8"?>
<sst xmlns="http://schemas.openxmlformats.org/spreadsheetml/2006/main" count="864" uniqueCount="584">
  <si>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</si>
  <si>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</si>
  <si>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</si>
  <si>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</si>
  <si>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</si>
  <si>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</si>
  <si>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</si>
  <si>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</si>
  <si>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</si>
  <si>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</si>
  <si>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</si>
  <si>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</si>
  <si>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</si>
  <si>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</si>
  <si>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</si>
  <si>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</si>
  <si>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</si>
  <si>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</si>
  <si>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</si>
  <si>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</si>
  <si>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</si>
  <si>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</si>
  <si>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</si>
  <si>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</si>
  <si>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</si>
  <si>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</si>
  <si>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</si>
  <si>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</si>
  <si>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</si>
  <si>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</si>
  <si>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</si>
  <si>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</si>
  <si>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</si>
  <si>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</si>
  <si>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</si>
  <si>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</si>
  <si>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</si>
  <si>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</si>
  <si>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</si>
  <si>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</si>
  <si>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</si>
  <si>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</si>
  <si>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</si>
  <si>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</si>
  <si>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</si>
  <si>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</si>
  <si>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</si>
  <si>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</si>
  <si>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</si>
  <si>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</si>
  <si>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</si>
  <si>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</si>
  <si>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</si>
  <si>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</si>
  <si>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</si>
  <si>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</si>
  <si>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</si>
  <si>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</si>
  <si>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</si>
  <si>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</si>
  <si>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</si>
  <si>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</si>
  <si>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</si>
  <si>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</si>
  <si>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</si>
  <si>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</si>
  <si>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</si>
  <si>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</si>
  <si>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</si>
  <si>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</si>
  <si>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</si>
  <si>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</si>
  <si>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</si>
  <si>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</si>
  <si>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</si>
  <si>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</si>
  <si>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</si>
  <si>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</si>
  <si>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</si>
  <si>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</si>
  <si>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</si>
  <si>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</si>
  <si>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</si>
  <si>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</si>
  <si>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</si>
  <si>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</si>
  <si>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</si>
  <si>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</si>
  <si>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</si>
  <si>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</si>
  <si>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</si>
  <si>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</si>
  <si>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</si>
  <si>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</si>
  <si>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</si>
  <si>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</si>
  <si>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</si>
  <si>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</si>
  <si>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</si>
  <si>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</si>
  <si>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</si>
  <si>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</si>
  <si>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</si>
  <si>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</si>
  <si>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</si>
  <si>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</si>
  <si>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</si>
  <si>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</si>
  <si>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</si>
  <si>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</si>
  <si>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</si>
  <si>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</si>
  <si>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</si>
  <si>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</si>
  <si>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</si>
  <si>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</si>
  <si>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</si>
  <si>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</si>
  <si>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</si>
  <si>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</si>
  <si>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</si>
  <si>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</si>
  <si>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</si>
  <si>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</si>
  <si>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</si>
  <si>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</si>
  <si>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</si>
  <si>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</si>
  <si>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</si>
  <si>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</si>
  <si>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</si>
  <si>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</si>
  <si>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</si>
  <si>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</si>
  <si>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</si>
  <si>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</si>
  <si>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</si>
  <si>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</si>
  <si>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</si>
  <si>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</si>
  <si>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</si>
  <si>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</si>
  <si>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</si>
  <si>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</si>
  <si>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</si>
  <si>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</si>
  <si>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</si>
  <si>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</si>
  <si>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</si>
  <si>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</si>
  <si>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</si>
  <si>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</si>
  <si>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</si>
  <si>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</si>
  <si>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</si>
  <si>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</si>
  <si>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</si>
  <si>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</si>
  <si>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</si>
  <si>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</si>
  <si>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</si>
  <si>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</si>
  <si>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</si>
  <si>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</si>
  <si>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</si>
  <si>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</si>
  <si>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</si>
  <si>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</si>
  <si>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</si>
  <si>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</si>
  <si>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</si>
  <si>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</si>
  <si>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</si>
  <si>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</si>
  <si>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</si>
  <si>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</si>
  <si>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</si>
  <si>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</si>
  <si>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</si>
  <si>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</si>
  <si>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</si>
  <si>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</si>
  <si>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</si>
  <si>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</si>
  <si>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</si>
  <si>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</si>
  <si>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</si>
  <si>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</si>
  <si>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</si>
  <si>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</si>
  <si>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</si>
  <si>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</si>
  <si>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</si>
  <si>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</si>
  <si>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</si>
  <si>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</si>
  <si>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</si>
  <si>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</si>
  <si>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</si>
  <si>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</si>
  <si>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</si>
  <si>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</si>
  <si>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</si>
  <si>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</si>
  <si>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</si>
  <si>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</si>
  <si>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</si>
  <si>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</si>
  <si>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</si>
  <si>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</si>
  <si>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</si>
  <si>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</si>
  <si>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</si>
  <si>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</si>
  <si>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</si>
  <si>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</si>
  <si>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</si>
  <si>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</si>
  <si>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</si>
  <si>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</si>
  <si>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</si>
  <si>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</si>
  <si>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</si>
  <si>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</si>
  <si>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</si>
  <si>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</si>
  <si>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</si>
  <si>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</si>
  <si>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</si>
  <si>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</si>
  <si>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</si>
  <si>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</si>
  <si>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</si>
  <si>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</si>
  <si>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</si>
  <si>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</si>
  <si>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</si>
  <si>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</si>
  <si>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</si>
  <si>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</si>
  <si>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</si>
  <si>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</si>
  <si>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</si>
  <si>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</si>
  <si>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</si>
  <si>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</si>
  <si>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</si>
  <si>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</si>
  <si>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</si>
  <si>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</si>
  <si>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</si>
  <si>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</si>
  <si>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</si>
  <si>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</si>
  <si>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</si>
  <si>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</si>
  <si>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</si>
  <si>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</si>
  <si>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</si>
  <si>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</si>
  <si>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</si>
  <si>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</si>
  <si>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</si>
  <si>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</si>
  <si>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</si>
  <si>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</si>
  <si>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</si>
  <si>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</si>
  <si>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</si>
  <si>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</si>
  <si>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</si>
  <si>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</si>
  <si>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</si>
  <si>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</si>
  <si>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</si>
  <si>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</si>
  <si>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</si>
  <si>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</si>
  <si>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</si>
  <si>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</si>
  <si>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</si>
  <si>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</si>
  <si>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</si>
  <si>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</si>
  <si>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</si>
  <si>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</si>
  <si>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</si>
  <si>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</si>
  <si>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</si>
  <si>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</si>
  <si>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</si>
  <si>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</si>
  <si>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</si>
  <si>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</si>
  <si>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</si>
  <si>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</si>
  <si>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</si>
  <si>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</si>
  <si>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</si>
  <si>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</si>
  <si>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</si>
  <si>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</si>
  <si>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</si>
  <si>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</si>
  <si>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</si>
  <si>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</si>
  <si>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</si>
  <si>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</si>
  <si>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</si>
  <si>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</si>
  <si>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</si>
  <si>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</si>
  <si>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</si>
  <si>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</si>
  <si>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</si>
  <si>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</si>
  <si>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</si>
  <si>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</si>
  <si>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</si>
  <si>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</si>
  <si>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</si>
  <si>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</si>
  <si>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</si>
  <si>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</si>
  <si>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</si>
  <si>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</si>
  <si>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</si>
  <si>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</si>
  <si>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</si>
  <si>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</si>
  <si>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</si>
  <si>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</si>
  <si>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</si>
  <si>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</si>
  <si>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</si>
  <si>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</si>
  <si>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</si>
  <si>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</si>
  <si>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</si>
  <si>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</si>
  <si>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</si>
  <si>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</si>
  <si>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</si>
  <si>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</si>
  <si>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</si>
  <si>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</si>
  <si>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</si>
  <si>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</si>
  <si>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</si>
  <si>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</si>
  <si>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</si>
  <si>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</si>
  <si>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</si>
  <si>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</si>
  <si>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</si>
  <si>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</si>
  <si>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</si>
  <si>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</si>
  <si>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</si>
  <si>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</si>
  <si>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</si>
  <si>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</si>
  <si>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</si>
  <si>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</si>
  <si>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</si>
  <si>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</si>
  <si>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</si>
  <si>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</si>
  <si>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</si>
  <si>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</si>
  <si>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</si>
  <si>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</si>
  <si>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</si>
  <si>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</si>
  <si>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</si>
  <si>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</si>
  <si>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</si>
  <si>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</si>
  <si>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</si>
  <si>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</si>
  <si>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</si>
  <si>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</si>
  <si>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</si>
  <si>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</si>
  <si>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</si>
  <si>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</si>
  <si>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</si>
  <si>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</si>
  <si>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</si>
  <si>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</si>
  <si>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</si>
  <si>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</si>
  <si>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</si>
  <si>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</si>
  <si>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</si>
  <si>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</si>
  <si>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</si>
  <si>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</si>
  <si>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</si>
  <si>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</si>
  <si>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</si>
  <si>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</si>
  <si>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</si>
  <si>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</si>
  <si>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</si>
  <si>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</si>
  <si>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</si>
  <si>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</si>
  <si>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</si>
  <si>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</si>
  <si>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</si>
  <si>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</si>
  <si>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</si>
  <si>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</si>
  <si>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</si>
  <si>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</si>
  <si>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</si>
  <si>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</si>
  <si>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</si>
  <si>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</si>
  <si>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</si>
  <si>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</si>
  <si>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</si>
  <si>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</si>
  <si>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</si>
  <si>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</si>
  <si>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</si>
  <si>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</si>
  <si>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</si>
  <si>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</si>
  <si>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</si>
  <si>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</si>
  <si>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</si>
  <si>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</si>
  <si>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</si>
  <si>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</si>
  <si>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</si>
  <si>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</si>
  <si>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</si>
  <si>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</si>
  <si>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</si>
  <si>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</si>
  <si>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</si>
  <si>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</si>
  <si>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</si>
  <si>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</si>
  <si>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</si>
  <si>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</si>
  <si>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</si>
  <si>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</si>
  <si>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</si>
  <si>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</si>
  <si>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</si>
  <si>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</si>
  <si>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</si>
  <si>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</si>
  <si>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</si>
  <si>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</si>
  <si>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</si>
  <si>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</si>
  <si>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</si>
  <si>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</si>
  <si>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</si>
  <si>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</si>
  <si>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</si>
  <si>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</si>
  <si>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</si>
  <si>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</si>
  <si>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</si>
  <si>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</si>
  <si>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</si>
  <si>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</si>
  <si>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</si>
  <si>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</si>
  <si>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</si>
  <si>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</si>
  <si>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</si>
  <si>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</si>
  <si>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</si>
  <si>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</si>
  <si>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</si>
  <si>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</si>
  <si>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</si>
  <si>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</si>
  <si>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</si>
  <si>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</si>
  <si>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</si>
  <si>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</si>
  <si>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</si>
  <si>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</si>
  <si>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</si>
  <si>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</si>
  <si>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</si>
  <si>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</si>
  <si>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</si>
  <si>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</si>
  <si>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</si>
  <si>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</si>
  <si>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</si>
  <si>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</si>
  <si>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</si>
  <si>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</si>
  <si>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</si>
  <si>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</si>
  <si>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</si>
  <si>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</si>
  <si>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</si>
  <si>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</si>
  <si>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</si>
  <si>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</si>
  <si>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</si>
  <si>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</si>
  <si>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</si>
  <si>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</si>
  <si>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</si>
  <si>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</si>
  <si>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</si>
  <si>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</si>
  <si>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</si>
  <si>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</si>
  <si>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</si>
  <si>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</si>
  <si>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</si>
  <si>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</si>
  <si>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</si>
  <si>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</si>
  <si>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</si>
  <si>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</si>
  <si>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</si>
  <si>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</si>
  <si>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</si>
  <si>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</si>
  <si>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</si>
  <si>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</si>
  <si>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</si>
  <si>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</si>
  <si>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</si>
  <si>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</si>
  <si>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</si>
  <si>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</si>
  <si>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</si>
  <si>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</si>
  <si>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</si>
  <si>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</si>
  <si>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</si>
  <si>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</si>
  <si>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</si>
  <si>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</si>
  <si>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</si>
  <si>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</si>
  <si>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</si>
  <si>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</si>
  <si>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</si>
  <si>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</si>
  <si>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</si>
  <si>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</si>
  <si>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</si>
  <si>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</si>
  <si>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</si>
  <si>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</si>
  <si>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</si>
  <si>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</si>
  <si>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</si>
  <si>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</si>
  <si>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</si>
  <si>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</si>
  <si>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</si>
  <si>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</si>
  <si>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</si>
  <si>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 AL 20%</t>
  </si>
  <si>
    <t>CONCATENATO</t>
  </si>
  <si>
    <t>VOTO</t>
  </si>
  <si>
    <t>GIUDIZIO</t>
  </si>
  <si>
    <t>RESPINTO</t>
  </si>
  <si>
    <t>SUFFICIENTE</t>
  </si>
  <si>
    <t>BUONO</t>
  </si>
  <si>
    <t>DISCRETO</t>
  </si>
  <si>
    <t>ABBIGLIAMENTO</t>
  </si>
  <si>
    <t>ALIMENTARI</t>
  </si>
  <si>
    <t>PERSONALE</t>
  </si>
  <si>
    <t>HARDWARE</t>
  </si>
  <si>
    <t>N FATTURE</t>
  </si>
  <si>
    <t>CATEGORIA</t>
  </si>
  <si>
    <t>TOTALE 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</si>
</sst>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_-* #,##0.00\ [$€-803]_-;\-* #,##0.00\ [$€-803]_-;_-* &quot;-&quot;??\ [$€-803]_-;_-@_-"/>
  </numFmts>
  <fonts count="12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b/>
      <sz val="10"/>
      <color theme="1"/>
      <name val="Verdana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7" fontId="2" fillId="0" borderId="0" xfId="0" applyNumberFormat="1" applyFont="1"/>
    <xf numFmtId="0" fontId="8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e" xfId="0" builtinId="0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>VLOOKUP(Table_1[[#This Row],[Column2]],E:F,2,FALSE)</calculatedColumnFormula>
    </tableColumn>
  </tableColumns>
  <tableStyleInfo name="Giudiz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7"/>
  <sheetViews>
    <sheetView workbookViewId="0">
      <pane ySplit="1" topLeftCell="A2" activePane="bottomLeft" state="frozen"/>
      <selection pane="bottomLeft" activeCell="E2" sqref="E2:E337"/>
    </sheetView>
  </sheetViews>
  <sheetFormatPr defaultColWidth="14.3984375" defaultRowHeight="15" customHeight="1" x14ac:dyDescent="0.3"/>
  <cols>
    <col min="1" max="1" width="41.296875" customWidth="1"/>
    <col min="2" max="2" width="54.3984375" customWidth="1"/>
    <col min="3" max="3" width="27.296875" customWidth="1"/>
    <col min="4" max="4" width="17.796875" customWidth="1"/>
    <col min="5" max="5" width="75.59765625" customWidth="1"/>
    <col min="6" max="6" width="7.09765625" customWidth="1"/>
    <col min="7" max="25" width="8.69921875" customWidth="1"/>
  </cols>
  <sheetData>
    <row r="1" spans="1:25" ht="12.75" customHeight="1" x14ac:dyDescent="0.3">
      <c r="A1" s="1" t="s">
        <v>0</v>
      </c>
      <c r="B1" s="1" t="s">
        <v>1</v>
      </c>
      <c r="C1" s="2" t="s">
        <v>2</v>
      </c>
      <c r="D1" s="1" t="s">
        <v>569</v>
      </c>
      <c r="E1" s="1" t="s">
        <v>570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2.75" customHeight="1" x14ac:dyDescent="0.3">
      <c r="A2" s="4" t="s">
        <v>3</v>
      </c>
      <c r="B2" s="4" t="s">
        <v>4</v>
      </c>
      <c r="C2" s="5">
        <v>281000</v>
      </c>
      <c r="D2" s="15">
        <f>C2*0.16</f>
        <v>44960</v>
      </c>
      <c r="E2" s="4" t="str">
        <f>CONCATENATE(A2,"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2.75" customHeight="1" x14ac:dyDescent="0.3">
      <c r="A3" s="4" t="s">
        <v>5</v>
      </c>
      <c r="B3" s="4" t="s">
        <v>6</v>
      </c>
      <c r="C3" s="5">
        <v>323000</v>
      </c>
      <c r="D3" s="15">
        <f t="shared" ref="D3:D66" si="0">C3*0.16</f>
        <v>51680</v>
      </c>
      <c r="E3" s="4" t="str">
        <f t="shared" ref="E3:E66" si="1">CONCATENATE(A3,"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2.75" customHeight="1" x14ac:dyDescent="0.3">
      <c r="A4" s="4" t="s">
        <v>7</v>
      </c>
      <c r="B4" s="4" t="s">
        <v>8</v>
      </c>
      <c r="C4" s="5">
        <v>344000</v>
      </c>
      <c r="D4" s="15">
        <f t="shared" si="0"/>
        <v>55040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2.75" customHeight="1" x14ac:dyDescent="0.3">
      <c r="A5" s="4" t="s">
        <v>9</v>
      </c>
      <c r="B5" s="4" t="s">
        <v>10</v>
      </c>
      <c r="C5" s="5">
        <v>361000</v>
      </c>
      <c r="D5" s="15">
        <f t="shared" si="0"/>
        <v>57760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2.75" customHeight="1" x14ac:dyDescent="0.3">
      <c r="A6" s="4" t="s">
        <v>11</v>
      </c>
      <c r="B6" s="4" t="s">
        <v>12</v>
      </c>
      <c r="C6" s="5">
        <v>521000</v>
      </c>
      <c r="D6" s="15">
        <f t="shared" si="0"/>
        <v>83360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2.75" customHeight="1" x14ac:dyDescent="0.3">
      <c r="A7" s="4" t="s">
        <v>13</v>
      </c>
      <c r="B7" s="4" t="s">
        <v>14</v>
      </c>
      <c r="C7" s="5">
        <v>527000</v>
      </c>
      <c r="D7" s="15">
        <f t="shared" si="0"/>
        <v>84320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2.75" customHeight="1" x14ac:dyDescent="0.3">
      <c r="A8" s="4" t="s">
        <v>15</v>
      </c>
      <c r="B8" s="4" t="s">
        <v>16</v>
      </c>
      <c r="C8" s="5">
        <v>626000</v>
      </c>
      <c r="D8" s="15">
        <f t="shared" si="0"/>
        <v>100160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2.75" customHeight="1" x14ac:dyDescent="0.3">
      <c r="A9" s="4" t="s">
        <v>17</v>
      </c>
      <c r="B9" s="4" t="s">
        <v>18</v>
      </c>
      <c r="C9" s="5">
        <v>656000</v>
      </c>
      <c r="D9" s="15">
        <f t="shared" si="0"/>
        <v>104960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3">
      <c r="A10" s="4" t="s">
        <v>19</v>
      </c>
      <c r="B10" s="4" t="s">
        <v>20</v>
      </c>
      <c r="C10" s="5">
        <v>666000</v>
      </c>
      <c r="D10" s="15">
        <f t="shared" si="0"/>
        <v>106560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2.75" customHeight="1" x14ac:dyDescent="0.3">
      <c r="A11" s="4" t="s">
        <v>21</v>
      </c>
      <c r="B11" s="4" t="s">
        <v>22</v>
      </c>
      <c r="C11" s="5">
        <v>882000</v>
      </c>
      <c r="D11" s="15">
        <f t="shared" si="0"/>
        <v>141120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2.75" customHeight="1" x14ac:dyDescent="0.3">
      <c r="A12" s="4" t="s">
        <v>23</v>
      </c>
      <c r="B12" s="4" t="s">
        <v>24</v>
      </c>
      <c r="C12" s="5">
        <v>1108000</v>
      </c>
      <c r="D12" s="15">
        <f t="shared" si="0"/>
        <v>177280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3">
      <c r="A13" s="4" t="s">
        <v>25</v>
      </c>
      <c r="B13" s="4" t="s">
        <v>26</v>
      </c>
      <c r="C13" s="5">
        <v>1316000</v>
      </c>
      <c r="D13" s="15">
        <f t="shared" si="0"/>
        <v>210560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customHeight="1" x14ac:dyDescent="0.3">
      <c r="A14" s="4" t="s">
        <v>27</v>
      </c>
      <c r="B14" s="4" t="s">
        <v>28</v>
      </c>
      <c r="C14" s="5">
        <v>1594000</v>
      </c>
      <c r="D14" s="15">
        <f t="shared" si="0"/>
        <v>255040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2.75" customHeight="1" x14ac:dyDescent="0.3">
      <c r="A15" s="4" t="s">
        <v>29</v>
      </c>
      <c r="B15" s="4" t="s">
        <v>30</v>
      </c>
      <c r="C15" s="5">
        <v>2719000</v>
      </c>
      <c r="D15" s="15">
        <f t="shared" si="0"/>
        <v>435040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2.75" customHeight="1" x14ac:dyDescent="0.3">
      <c r="A16" s="4" t="s">
        <v>31</v>
      </c>
      <c r="B16" s="4"/>
      <c r="C16" s="5"/>
      <c r="D16" s="1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customHeight="1" x14ac:dyDescent="0.3">
      <c r="A17" s="4" t="s">
        <v>32</v>
      </c>
      <c r="B17" s="4" t="s">
        <v>33</v>
      </c>
      <c r="C17" s="5">
        <v>4092000</v>
      </c>
      <c r="D17" s="15">
        <f t="shared" si="0"/>
        <v>654720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customHeight="1" x14ac:dyDescent="0.3">
      <c r="A18" s="4" t="s">
        <v>34</v>
      </c>
      <c r="B18" s="4" t="s">
        <v>35</v>
      </c>
      <c r="C18" s="5">
        <v>13859000</v>
      </c>
      <c r="D18" s="15">
        <f t="shared" si="0"/>
        <v>2217440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customHeight="1" x14ac:dyDescent="0.3">
      <c r="A19" s="4" t="s">
        <v>36</v>
      </c>
      <c r="B19" s="4"/>
      <c r="C19" s="5"/>
      <c r="D19" s="1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customHeight="1" x14ac:dyDescent="0.3">
      <c r="A20" s="4" t="s">
        <v>37</v>
      </c>
      <c r="B20" s="4" t="s">
        <v>38</v>
      </c>
      <c r="C20" s="5">
        <v>167000</v>
      </c>
      <c r="D20" s="15">
        <f t="shared" si="0"/>
        <v>26720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customHeight="1" x14ac:dyDescent="0.3">
      <c r="A21" s="4" t="s">
        <v>39</v>
      </c>
      <c r="B21" s="4" t="s">
        <v>40</v>
      </c>
      <c r="C21" s="5">
        <v>202000</v>
      </c>
      <c r="D21" s="15">
        <f t="shared" si="0"/>
        <v>32320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customHeight="1" x14ac:dyDescent="0.3">
      <c r="A22" s="4" t="s">
        <v>41</v>
      </c>
      <c r="B22" s="4" t="s">
        <v>42</v>
      </c>
      <c r="C22" s="5">
        <v>203000</v>
      </c>
      <c r="D22" s="15">
        <f t="shared" si="0"/>
        <v>32480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3">
      <c r="A23" s="4" t="s">
        <v>43</v>
      </c>
      <c r="B23" s="4" t="s">
        <v>40</v>
      </c>
      <c r="C23" s="5">
        <v>234000</v>
      </c>
      <c r="D23" s="15">
        <f t="shared" si="0"/>
        <v>37440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3">
      <c r="A24" s="4" t="s">
        <v>44</v>
      </c>
      <c r="B24" s="4" t="s">
        <v>45</v>
      </c>
      <c r="C24" s="5">
        <v>252000</v>
      </c>
      <c r="D24" s="15">
        <f t="shared" si="0"/>
        <v>40320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3">
      <c r="A25" s="4" t="s">
        <v>46</v>
      </c>
      <c r="B25" s="4" t="s">
        <v>40</v>
      </c>
      <c r="C25" s="5">
        <v>259000</v>
      </c>
      <c r="D25" s="15">
        <f t="shared" si="0"/>
        <v>41440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3">
      <c r="A26" s="4" t="s">
        <v>47</v>
      </c>
      <c r="B26" s="4" t="s">
        <v>48</v>
      </c>
      <c r="C26" s="5">
        <v>269000</v>
      </c>
      <c r="D26" s="15">
        <f t="shared" si="0"/>
        <v>43040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3">
      <c r="A27" s="4" t="s">
        <v>49</v>
      </c>
      <c r="B27" s="4" t="s">
        <v>50</v>
      </c>
      <c r="C27" s="5">
        <v>271000</v>
      </c>
      <c r="D27" s="15">
        <f t="shared" si="0"/>
        <v>43360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3">
      <c r="A28" s="4" t="s">
        <v>51</v>
      </c>
      <c r="B28" s="4" t="s">
        <v>52</v>
      </c>
      <c r="C28" s="5">
        <v>292000</v>
      </c>
      <c r="D28" s="15">
        <f t="shared" si="0"/>
        <v>46720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3">
      <c r="A29" s="4" t="s">
        <v>53</v>
      </c>
      <c r="B29" s="4" t="s">
        <v>54</v>
      </c>
      <c r="C29" s="5">
        <v>293000</v>
      </c>
      <c r="D29" s="15">
        <f t="shared" si="0"/>
        <v>46880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3">
      <c r="A30" s="4" t="s">
        <v>55</v>
      </c>
      <c r="B30" s="4" t="s">
        <v>40</v>
      </c>
      <c r="C30" s="5">
        <v>307000</v>
      </c>
      <c r="D30" s="15">
        <f t="shared" si="0"/>
        <v>49120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3">
      <c r="A31" s="4" t="s">
        <v>56</v>
      </c>
      <c r="B31" s="4" t="s">
        <v>57</v>
      </c>
      <c r="C31" s="5">
        <v>440000</v>
      </c>
      <c r="D31" s="15">
        <f t="shared" si="0"/>
        <v>70400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3">
      <c r="A32" s="4" t="s">
        <v>58</v>
      </c>
      <c r="B32" s="4" t="s">
        <v>59</v>
      </c>
      <c r="C32" s="5">
        <v>487000</v>
      </c>
      <c r="D32" s="15">
        <f t="shared" si="0"/>
        <v>77920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3">
      <c r="A33" s="4" t="s">
        <v>60</v>
      </c>
      <c r="B33" s="4" t="s">
        <v>61</v>
      </c>
      <c r="C33" s="5">
        <v>566000</v>
      </c>
      <c r="D33" s="15">
        <f t="shared" si="0"/>
        <v>90560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3">
      <c r="A34" s="4" t="s">
        <v>62</v>
      </c>
      <c r="B34" s="4" t="s">
        <v>59</v>
      </c>
      <c r="C34" s="5">
        <v>802000</v>
      </c>
      <c r="D34" s="15">
        <f t="shared" si="0"/>
        <v>128320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3">
      <c r="A35" s="4" t="s">
        <v>63</v>
      </c>
      <c r="B35" s="4" t="s">
        <v>64</v>
      </c>
      <c r="C35" s="5">
        <v>1579000</v>
      </c>
      <c r="D35" s="15">
        <f t="shared" si="0"/>
        <v>252640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3">
      <c r="A36" s="4" t="s">
        <v>65</v>
      </c>
      <c r="B36" s="4"/>
      <c r="C36" s="5"/>
      <c r="D36" s="1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3">
      <c r="A37" s="4" t="s">
        <v>66</v>
      </c>
      <c r="B37" s="4" t="s">
        <v>67</v>
      </c>
      <c r="C37" s="5">
        <v>70000</v>
      </c>
      <c r="D37" s="15">
        <f t="shared" si="0"/>
        <v>11200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3">
      <c r="A38" s="4" t="s">
        <v>68</v>
      </c>
      <c r="B38" s="4" t="s">
        <v>69</v>
      </c>
      <c r="C38" s="5">
        <v>104000</v>
      </c>
      <c r="D38" s="15">
        <f t="shared" si="0"/>
        <v>16640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3">
      <c r="A39" s="4" t="s">
        <v>70</v>
      </c>
      <c r="B39" s="4" t="s">
        <v>71</v>
      </c>
      <c r="C39" s="5">
        <v>127000</v>
      </c>
      <c r="D39" s="15">
        <f t="shared" si="0"/>
        <v>20320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3">
      <c r="A40" s="4" t="s">
        <v>72</v>
      </c>
      <c r="B40" s="4" t="s">
        <v>73</v>
      </c>
      <c r="C40" s="5">
        <v>162000</v>
      </c>
      <c r="D40" s="15">
        <f t="shared" si="0"/>
        <v>25920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3">
      <c r="A41" s="4" t="s">
        <v>74</v>
      </c>
      <c r="B41" s="4" t="s">
        <v>75</v>
      </c>
      <c r="C41" s="5">
        <v>179000</v>
      </c>
      <c r="D41" s="15">
        <f t="shared" si="0"/>
        <v>28640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3">
      <c r="A42" s="4" t="s">
        <v>76</v>
      </c>
      <c r="B42" s="4" t="s">
        <v>77</v>
      </c>
      <c r="C42" s="5">
        <v>186000</v>
      </c>
      <c r="D42" s="15">
        <f t="shared" si="0"/>
        <v>29760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3">
      <c r="A43" s="4" t="s">
        <v>78</v>
      </c>
      <c r="B43" s="4" t="s">
        <v>77</v>
      </c>
      <c r="C43" s="5">
        <v>186000</v>
      </c>
      <c r="D43" s="15">
        <f t="shared" si="0"/>
        <v>29760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3">
      <c r="A44" s="4" t="s">
        <v>79</v>
      </c>
      <c r="B44" s="4" t="s">
        <v>80</v>
      </c>
      <c r="C44" s="5">
        <v>203000</v>
      </c>
      <c r="D44" s="15">
        <f t="shared" si="0"/>
        <v>32480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3">
      <c r="A45" s="4" t="s">
        <v>81</v>
      </c>
      <c r="B45" s="4" t="s">
        <v>75</v>
      </c>
      <c r="C45" s="5">
        <v>212000</v>
      </c>
      <c r="D45" s="15">
        <f t="shared" si="0"/>
        <v>33920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3">
      <c r="A46" s="4" t="s">
        <v>82</v>
      </c>
      <c r="B46" s="4" t="s">
        <v>83</v>
      </c>
      <c r="C46" s="5">
        <v>222000</v>
      </c>
      <c r="D46" s="15">
        <f t="shared" si="0"/>
        <v>35520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3">
      <c r="A47" s="4" t="s">
        <v>84</v>
      </c>
      <c r="B47" s="4" t="s">
        <v>85</v>
      </c>
      <c r="C47" s="5">
        <v>245000</v>
      </c>
      <c r="D47" s="15">
        <f t="shared" si="0"/>
        <v>39200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3">
      <c r="A48" s="4" t="s">
        <v>86</v>
      </c>
      <c r="B48" s="4" t="s">
        <v>87</v>
      </c>
      <c r="C48" s="5">
        <v>251000</v>
      </c>
      <c r="D48" s="15">
        <f t="shared" si="0"/>
        <v>40160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3">
      <c r="A49" s="4" t="s">
        <v>88</v>
      </c>
      <c r="B49" s="4" t="s">
        <v>89</v>
      </c>
      <c r="C49" s="5">
        <v>257000</v>
      </c>
      <c r="D49" s="15">
        <f t="shared" si="0"/>
        <v>41120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3">
      <c r="A50" s="4" t="s">
        <v>90</v>
      </c>
      <c r="B50" s="4" t="s">
        <v>89</v>
      </c>
      <c r="C50" s="5">
        <v>269000</v>
      </c>
      <c r="D50" s="15">
        <f t="shared" si="0"/>
        <v>43040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3">
      <c r="A51" s="4" t="s">
        <v>91</v>
      </c>
      <c r="B51" s="4" t="s">
        <v>92</v>
      </c>
      <c r="C51" s="5">
        <v>314000</v>
      </c>
      <c r="D51" s="15">
        <f t="shared" si="0"/>
        <v>50240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3">
      <c r="A52" s="4" t="s">
        <v>93</v>
      </c>
      <c r="B52" s="4" t="s">
        <v>94</v>
      </c>
      <c r="C52" s="5">
        <v>325000</v>
      </c>
      <c r="D52" s="15">
        <f t="shared" si="0"/>
        <v>52000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3">
      <c r="A53" s="4" t="s">
        <v>95</v>
      </c>
      <c r="B53" s="4" t="s">
        <v>96</v>
      </c>
      <c r="C53" s="5">
        <v>347000</v>
      </c>
      <c r="D53" s="15">
        <f t="shared" si="0"/>
        <v>55520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3">
      <c r="A54" s="4" t="s">
        <v>97</v>
      </c>
      <c r="B54" s="4" t="s">
        <v>92</v>
      </c>
      <c r="C54" s="5">
        <v>369000</v>
      </c>
      <c r="D54" s="15">
        <f t="shared" si="0"/>
        <v>59040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3">
      <c r="A55" s="4" t="s">
        <v>98</v>
      </c>
      <c r="B55" s="4" t="s">
        <v>99</v>
      </c>
      <c r="C55" s="5">
        <v>402000</v>
      </c>
      <c r="D55" s="15">
        <f t="shared" si="0"/>
        <v>64320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3">
      <c r="A56" s="4" t="s">
        <v>100</v>
      </c>
      <c r="B56" s="4" t="s">
        <v>92</v>
      </c>
      <c r="C56" s="5">
        <v>471000</v>
      </c>
      <c r="D56" s="15">
        <f t="shared" si="0"/>
        <v>75360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3">
      <c r="A57" s="4" t="s">
        <v>101</v>
      </c>
      <c r="B57" s="4" t="s">
        <v>94</v>
      </c>
      <c r="C57" s="5">
        <v>476000</v>
      </c>
      <c r="D57" s="15">
        <f t="shared" si="0"/>
        <v>76160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3">
      <c r="A58" s="4" t="s">
        <v>102</v>
      </c>
      <c r="B58" s="4" t="s">
        <v>99</v>
      </c>
      <c r="C58" s="5">
        <v>492000</v>
      </c>
      <c r="D58" s="15">
        <f t="shared" si="0"/>
        <v>78720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3">
      <c r="A59" s="4" t="s">
        <v>103</v>
      </c>
      <c r="B59" s="4" t="s">
        <v>104</v>
      </c>
      <c r="C59" s="5">
        <v>531000</v>
      </c>
      <c r="D59" s="15">
        <f t="shared" si="0"/>
        <v>84960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3">
      <c r="A60" s="4" t="s">
        <v>105</v>
      </c>
      <c r="B60" s="4" t="s">
        <v>92</v>
      </c>
      <c r="C60" s="5">
        <v>552000</v>
      </c>
      <c r="D60" s="15">
        <f t="shared" si="0"/>
        <v>88320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3">
      <c r="A61" s="4" t="s">
        <v>106</v>
      </c>
      <c r="B61" s="4" t="s">
        <v>107</v>
      </c>
      <c r="C61" s="5">
        <v>1487000</v>
      </c>
      <c r="D61" s="15">
        <f t="shared" si="0"/>
        <v>237920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3">
      <c r="A62" s="4" t="s">
        <v>108</v>
      </c>
      <c r="B62" s="4"/>
      <c r="C62" s="5"/>
      <c r="D62" s="1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3">
      <c r="A63" s="4" t="s">
        <v>109</v>
      </c>
      <c r="B63" s="4" t="s">
        <v>110</v>
      </c>
      <c r="C63" s="5">
        <v>101000</v>
      </c>
      <c r="D63" s="15">
        <f t="shared" si="0"/>
        <v>16160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3">
      <c r="A64" s="4" t="s">
        <v>111</v>
      </c>
      <c r="B64" s="4" t="s">
        <v>112</v>
      </c>
      <c r="C64" s="5">
        <v>38000</v>
      </c>
      <c r="D64" s="15">
        <f t="shared" si="0"/>
        <v>6080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3">
      <c r="A65" s="4" t="s">
        <v>113</v>
      </c>
      <c r="B65" s="4" t="s">
        <v>114</v>
      </c>
      <c r="C65" s="5">
        <v>137000</v>
      </c>
      <c r="D65" s="15">
        <f t="shared" si="0"/>
        <v>21920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3">
      <c r="A66" s="4" t="s">
        <v>115</v>
      </c>
      <c r="B66" s="4" t="s">
        <v>116</v>
      </c>
      <c r="C66" s="5">
        <v>222000</v>
      </c>
      <c r="D66" s="15">
        <f t="shared" si="0"/>
        <v>35520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3">
      <c r="A67" s="4" t="s">
        <v>117</v>
      </c>
      <c r="B67" s="4" t="s">
        <v>118</v>
      </c>
      <c r="C67" s="5">
        <v>501000</v>
      </c>
      <c r="D67" s="15">
        <f t="shared" ref="D67:D130" si="2">C67*0.16</f>
        <v>80160</v>
      </c>
      <c r="E67" s="4" t="str">
        <f t="shared" ref="E67:E130" si="3">CONCATENATE(A67,"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3">
      <c r="A68" s="4" t="s">
        <v>119</v>
      </c>
      <c r="B68" s="4" t="s">
        <v>120</v>
      </c>
      <c r="C68" s="5">
        <v>428000</v>
      </c>
      <c r="D68" s="15">
        <f t="shared" si="2"/>
        <v>68480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3">
      <c r="A69" s="4" t="s">
        <v>121</v>
      </c>
      <c r="B69" s="4" t="s">
        <v>122</v>
      </c>
      <c r="C69" s="5">
        <v>561000</v>
      </c>
      <c r="D69" s="15">
        <f t="shared" si="2"/>
        <v>89760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3">
      <c r="A70" s="4" t="s">
        <v>123</v>
      </c>
      <c r="B70" s="4" t="s">
        <v>124</v>
      </c>
      <c r="C70" s="5">
        <v>1578000</v>
      </c>
      <c r="D70" s="15">
        <f t="shared" si="2"/>
        <v>252480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3">
      <c r="A71" s="4" t="s">
        <v>125</v>
      </c>
      <c r="B71" s="4" t="s">
        <v>126</v>
      </c>
      <c r="C71" s="5">
        <v>34000</v>
      </c>
      <c r="D71" s="15">
        <f t="shared" si="2"/>
        <v>5440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3">
      <c r="A72" s="4" t="s">
        <v>127</v>
      </c>
      <c r="B72" s="4" t="s">
        <v>128</v>
      </c>
      <c r="C72" s="5">
        <v>20000</v>
      </c>
      <c r="D72" s="15">
        <f t="shared" si="2"/>
        <v>3200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3">
      <c r="A73" s="4" t="s">
        <v>129</v>
      </c>
      <c r="B73" s="4" t="s">
        <v>128</v>
      </c>
      <c r="C73" s="5">
        <v>23000</v>
      </c>
      <c r="D73" s="15">
        <f t="shared" si="2"/>
        <v>3680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3">
      <c r="A74" s="4" t="s">
        <v>130</v>
      </c>
      <c r="B74" s="4"/>
      <c r="C74" s="5">
        <v>98000</v>
      </c>
      <c r="D74" s="15">
        <f t="shared" si="2"/>
        <v>15680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3">
      <c r="A75" s="4" t="s">
        <v>131</v>
      </c>
      <c r="B75" s="4"/>
      <c r="C75" s="5">
        <v>251000</v>
      </c>
      <c r="D75" s="15">
        <f t="shared" si="2"/>
        <v>40160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3">
      <c r="A76" s="4" t="s">
        <v>132</v>
      </c>
      <c r="B76" s="4"/>
      <c r="C76" s="5">
        <v>15000</v>
      </c>
      <c r="D76" s="15">
        <f t="shared" si="2"/>
        <v>2400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3">
      <c r="A77" s="4" t="s">
        <v>133</v>
      </c>
      <c r="B77" s="4"/>
      <c r="C77" s="5">
        <v>14000</v>
      </c>
      <c r="D77" s="15">
        <f t="shared" si="2"/>
        <v>2240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3">
      <c r="A78" s="4" t="s">
        <v>134</v>
      </c>
      <c r="B78" s="4"/>
      <c r="C78" s="5"/>
      <c r="D78" s="1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3">
      <c r="A79" s="4" t="s">
        <v>135</v>
      </c>
      <c r="B79" s="4" t="s">
        <v>136</v>
      </c>
      <c r="C79" s="5">
        <v>399000</v>
      </c>
      <c r="D79" s="15">
        <f t="shared" si="2"/>
        <v>63840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3">
      <c r="A80" s="4" t="s">
        <v>137</v>
      </c>
      <c r="B80" s="4" t="s">
        <v>138</v>
      </c>
      <c r="C80" s="5">
        <v>259000</v>
      </c>
      <c r="D80" s="15">
        <f t="shared" si="2"/>
        <v>41440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3">
      <c r="A81" s="4" t="s">
        <v>139</v>
      </c>
      <c r="B81" s="4" t="s">
        <v>138</v>
      </c>
      <c r="C81" s="5">
        <v>324000</v>
      </c>
      <c r="D81" s="15">
        <f t="shared" si="2"/>
        <v>51840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3">
      <c r="A82" s="4" t="s">
        <v>140</v>
      </c>
      <c r="B82" s="4" t="s">
        <v>138</v>
      </c>
      <c r="C82" s="5">
        <v>378000</v>
      </c>
      <c r="D82" s="15">
        <f t="shared" si="2"/>
        <v>60480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3">
      <c r="A83" s="4" t="s">
        <v>141</v>
      </c>
      <c r="B83" s="4" t="s">
        <v>138</v>
      </c>
      <c r="C83" s="5">
        <v>469000</v>
      </c>
      <c r="D83" s="15">
        <f t="shared" si="2"/>
        <v>75040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3">
      <c r="A84" s="4" t="s">
        <v>142</v>
      </c>
      <c r="B84" s="4" t="s">
        <v>138</v>
      </c>
      <c r="C84" s="5">
        <v>556000</v>
      </c>
      <c r="D84" s="15">
        <f t="shared" si="2"/>
        <v>88960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3">
      <c r="A85" s="4" t="s">
        <v>143</v>
      </c>
      <c r="B85" s="4" t="s">
        <v>144</v>
      </c>
      <c r="C85" s="5">
        <v>476000</v>
      </c>
      <c r="D85" s="15">
        <f t="shared" si="2"/>
        <v>76160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3">
      <c r="A86" s="4" t="s">
        <v>145</v>
      </c>
      <c r="B86" s="4" t="s">
        <v>144</v>
      </c>
      <c r="C86" s="5">
        <v>477000</v>
      </c>
      <c r="D86" s="15">
        <f t="shared" si="2"/>
        <v>76320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3">
      <c r="A87" s="4" t="s">
        <v>146</v>
      </c>
      <c r="B87" s="4" t="s">
        <v>144</v>
      </c>
      <c r="C87" s="5">
        <v>556000</v>
      </c>
      <c r="D87" s="15">
        <f t="shared" si="2"/>
        <v>88960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3">
      <c r="A88" s="4" t="s">
        <v>147</v>
      </c>
      <c r="B88" s="4" t="s">
        <v>148</v>
      </c>
      <c r="C88" s="5">
        <v>695000</v>
      </c>
      <c r="D88" s="15">
        <f t="shared" si="2"/>
        <v>111200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3">
      <c r="A89" s="4" t="s">
        <v>149</v>
      </c>
      <c r="B89" s="4" t="s">
        <v>150</v>
      </c>
      <c r="C89" s="5">
        <v>1279000</v>
      </c>
      <c r="D89" s="15">
        <f t="shared" si="2"/>
        <v>204640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3">
      <c r="A90" s="4" t="s">
        <v>151</v>
      </c>
      <c r="B90" s="4" t="s">
        <v>152</v>
      </c>
      <c r="C90" s="5">
        <v>35000</v>
      </c>
      <c r="D90" s="15">
        <f t="shared" si="2"/>
        <v>5600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3">
      <c r="A91" s="4" t="s">
        <v>153</v>
      </c>
      <c r="B91" s="4" t="s">
        <v>154</v>
      </c>
      <c r="C91" s="5">
        <v>175000</v>
      </c>
      <c r="D91" s="15">
        <f t="shared" si="2"/>
        <v>28000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3">
      <c r="A92" s="4" t="s">
        <v>155</v>
      </c>
      <c r="B92" s="4" t="s">
        <v>156</v>
      </c>
      <c r="C92" s="5">
        <v>272000</v>
      </c>
      <c r="D92" s="15">
        <f t="shared" si="2"/>
        <v>43520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3">
      <c r="A93" s="4" t="s">
        <v>157</v>
      </c>
      <c r="B93" s="4" t="s">
        <v>156</v>
      </c>
      <c r="C93" s="5">
        <v>198000</v>
      </c>
      <c r="D93" s="15">
        <f t="shared" si="2"/>
        <v>31680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3">
      <c r="A94" s="4" t="s">
        <v>158</v>
      </c>
      <c r="B94" s="4" t="s">
        <v>156</v>
      </c>
      <c r="C94" s="5">
        <v>290000</v>
      </c>
      <c r="D94" s="15">
        <f t="shared" si="2"/>
        <v>46400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3">
      <c r="A95" s="4" t="s">
        <v>159</v>
      </c>
      <c r="B95" s="4" t="s">
        <v>156</v>
      </c>
      <c r="C95" s="5">
        <v>589000</v>
      </c>
      <c r="D95" s="15">
        <f t="shared" si="2"/>
        <v>94240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3">
      <c r="A96" s="4" t="s">
        <v>160</v>
      </c>
      <c r="B96" s="4" t="s">
        <v>156</v>
      </c>
      <c r="C96" s="5">
        <v>743000</v>
      </c>
      <c r="D96" s="15">
        <f t="shared" si="2"/>
        <v>118880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3">
      <c r="A97" s="4" t="s">
        <v>161</v>
      </c>
      <c r="B97" s="4" t="s">
        <v>128</v>
      </c>
      <c r="C97" s="5">
        <v>271000</v>
      </c>
      <c r="D97" s="15">
        <f t="shared" si="2"/>
        <v>43360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3">
      <c r="A98" s="4" t="s">
        <v>162</v>
      </c>
      <c r="B98" s="4" t="s">
        <v>128</v>
      </c>
      <c r="C98" s="5">
        <v>632000</v>
      </c>
      <c r="D98" s="15">
        <f t="shared" si="2"/>
        <v>101120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3">
      <c r="A99" s="4" t="s">
        <v>163</v>
      </c>
      <c r="B99" s="4" t="s">
        <v>164</v>
      </c>
      <c r="C99" s="5">
        <v>90000</v>
      </c>
      <c r="D99" s="15">
        <f t="shared" si="2"/>
        <v>14400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3">
      <c r="A100" s="4" t="s">
        <v>165</v>
      </c>
      <c r="B100" s="4" t="s">
        <v>166</v>
      </c>
      <c r="C100" s="5">
        <v>4000</v>
      </c>
      <c r="D100" s="15">
        <f t="shared" si="2"/>
        <v>640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3">
      <c r="A101" s="4" t="s">
        <v>167</v>
      </c>
      <c r="B101" s="4" t="s">
        <v>168</v>
      </c>
      <c r="C101" s="5">
        <v>5000</v>
      </c>
      <c r="D101" s="15">
        <f t="shared" si="2"/>
        <v>800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3">
      <c r="A102" s="4" t="s">
        <v>169</v>
      </c>
      <c r="B102" s="4" t="s">
        <v>170</v>
      </c>
      <c r="C102" s="5">
        <v>41000</v>
      </c>
      <c r="D102" s="15">
        <f t="shared" si="2"/>
        <v>6560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3">
      <c r="A103" s="4" t="s">
        <v>171</v>
      </c>
      <c r="B103" s="4"/>
      <c r="C103" s="5"/>
      <c r="D103" s="1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3">
      <c r="A104" s="4" t="s">
        <v>172</v>
      </c>
      <c r="B104" s="4" t="s">
        <v>173</v>
      </c>
      <c r="C104" s="5">
        <v>737000</v>
      </c>
      <c r="D104" s="15">
        <f t="shared" si="2"/>
        <v>117920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3">
      <c r="A105" s="4" t="s">
        <v>174</v>
      </c>
      <c r="B105" s="4" t="s">
        <v>175</v>
      </c>
      <c r="C105" s="5">
        <v>910000</v>
      </c>
      <c r="D105" s="15">
        <f t="shared" si="2"/>
        <v>145600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3">
      <c r="A106" s="4" t="s">
        <v>176</v>
      </c>
      <c r="B106" s="4"/>
      <c r="C106" s="5">
        <v>241000</v>
      </c>
      <c r="D106" s="15">
        <f t="shared" si="2"/>
        <v>38560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3">
      <c r="A107" s="4" t="s">
        <v>177</v>
      </c>
      <c r="B107" s="4"/>
      <c r="C107" s="5"/>
      <c r="D107" s="1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3">
      <c r="A108" s="4" t="s">
        <v>178</v>
      </c>
      <c r="B108" s="4" t="s">
        <v>179</v>
      </c>
      <c r="C108" s="5">
        <v>112000</v>
      </c>
      <c r="D108" s="15">
        <f t="shared" si="2"/>
        <v>17920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3">
      <c r="A109" s="4" t="s">
        <v>180</v>
      </c>
      <c r="B109" s="4" t="s">
        <v>179</v>
      </c>
      <c r="C109" s="5">
        <v>113000</v>
      </c>
      <c r="D109" s="15">
        <f t="shared" si="2"/>
        <v>18080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3">
      <c r="A110" s="4" t="s">
        <v>181</v>
      </c>
      <c r="B110" s="4" t="s">
        <v>182</v>
      </c>
      <c r="C110" s="5">
        <v>121000</v>
      </c>
      <c r="D110" s="15">
        <f t="shared" si="2"/>
        <v>19360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3">
      <c r="A111" s="4" t="s">
        <v>183</v>
      </c>
      <c r="B111" s="4" t="s">
        <v>184</v>
      </c>
      <c r="C111" s="5">
        <v>160000</v>
      </c>
      <c r="D111" s="15">
        <f t="shared" si="2"/>
        <v>25600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3">
      <c r="A112" s="4" t="s">
        <v>185</v>
      </c>
      <c r="B112" s="4" t="s">
        <v>186</v>
      </c>
      <c r="C112" s="5">
        <v>195000</v>
      </c>
      <c r="D112" s="15">
        <f t="shared" si="2"/>
        <v>31200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3">
      <c r="A113" s="4" t="s">
        <v>187</v>
      </c>
      <c r="B113" s="4" t="s">
        <v>188</v>
      </c>
      <c r="C113" s="5">
        <v>215000</v>
      </c>
      <c r="D113" s="15">
        <f t="shared" si="2"/>
        <v>34400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3">
      <c r="A114" s="4" t="s">
        <v>189</v>
      </c>
      <c r="B114" s="4" t="s">
        <v>188</v>
      </c>
      <c r="C114" s="5">
        <v>321000</v>
      </c>
      <c r="D114" s="15">
        <f t="shared" si="2"/>
        <v>51360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3">
      <c r="A115" s="4" t="s">
        <v>190</v>
      </c>
      <c r="B115" s="4" t="s">
        <v>191</v>
      </c>
      <c r="C115" s="5">
        <v>614000</v>
      </c>
      <c r="D115" s="15">
        <f t="shared" si="2"/>
        <v>98240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3">
      <c r="A116" s="4" t="s">
        <v>192</v>
      </c>
      <c r="B116" s="4"/>
      <c r="C116" s="5"/>
      <c r="D116" s="1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3">
      <c r="A117" s="4" t="s">
        <v>193</v>
      </c>
      <c r="B117" s="4" t="s">
        <v>194</v>
      </c>
      <c r="C117" s="5">
        <v>30000</v>
      </c>
      <c r="D117" s="15">
        <f t="shared" si="2"/>
        <v>4800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3">
      <c r="A118" s="4" t="s">
        <v>195</v>
      </c>
      <c r="B118" s="4" t="s">
        <v>196</v>
      </c>
      <c r="C118" s="5">
        <v>34000</v>
      </c>
      <c r="D118" s="15">
        <f t="shared" si="2"/>
        <v>5440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3">
      <c r="A119" s="4" t="s">
        <v>197</v>
      </c>
      <c r="B119" s="4" t="s">
        <v>194</v>
      </c>
      <c r="C119" s="5">
        <v>35000</v>
      </c>
      <c r="D119" s="15">
        <f t="shared" si="2"/>
        <v>5600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3">
      <c r="A120" s="4" t="s">
        <v>198</v>
      </c>
      <c r="B120" s="4" t="s">
        <v>199</v>
      </c>
      <c r="C120" s="5">
        <v>77000</v>
      </c>
      <c r="D120" s="15">
        <f t="shared" si="2"/>
        <v>12320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3">
      <c r="A121" s="4" t="s">
        <v>200</v>
      </c>
      <c r="B121" s="4" t="s">
        <v>201</v>
      </c>
      <c r="C121" s="5">
        <v>723000</v>
      </c>
      <c r="D121" s="15">
        <f t="shared" si="2"/>
        <v>115680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3">
      <c r="A122" s="4" t="s">
        <v>202</v>
      </c>
      <c r="B122" s="4" t="s">
        <v>203</v>
      </c>
      <c r="C122" s="5">
        <v>742000</v>
      </c>
      <c r="D122" s="15">
        <f t="shared" si="2"/>
        <v>118720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3">
      <c r="A123" s="4" t="s">
        <v>204</v>
      </c>
      <c r="B123" s="4" t="s">
        <v>205</v>
      </c>
      <c r="C123" s="5">
        <v>778000</v>
      </c>
      <c r="D123" s="15">
        <f t="shared" si="2"/>
        <v>124480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3">
      <c r="A124" s="4" t="s">
        <v>206</v>
      </c>
      <c r="B124" s="4" t="s">
        <v>207</v>
      </c>
      <c r="C124" s="5">
        <v>878000</v>
      </c>
      <c r="D124" s="15">
        <f t="shared" si="2"/>
        <v>140480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3">
      <c r="A125" s="4" t="s">
        <v>208</v>
      </c>
      <c r="B125" s="4" t="s">
        <v>207</v>
      </c>
      <c r="C125" s="5">
        <v>883000</v>
      </c>
      <c r="D125" s="15">
        <f t="shared" si="2"/>
        <v>141280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3">
      <c r="A126" s="4" t="s">
        <v>209</v>
      </c>
      <c r="B126" s="4" t="s">
        <v>201</v>
      </c>
      <c r="C126" s="5">
        <v>913000</v>
      </c>
      <c r="D126" s="15">
        <f t="shared" si="2"/>
        <v>146080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3">
      <c r="A127" s="4" t="s">
        <v>210</v>
      </c>
      <c r="B127" s="4" t="s">
        <v>211</v>
      </c>
      <c r="C127" s="5">
        <v>1125000</v>
      </c>
      <c r="D127" s="15">
        <f t="shared" si="2"/>
        <v>180000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3">
      <c r="A128" s="4" t="s">
        <v>212</v>
      </c>
      <c r="B128" s="4"/>
      <c r="C128" s="5"/>
      <c r="D128" s="1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3">
      <c r="A129" s="4" t="s">
        <v>213</v>
      </c>
      <c r="B129" s="4"/>
      <c r="C129" s="5">
        <v>33000</v>
      </c>
      <c r="D129" s="15">
        <f t="shared" si="2"/>
        <v>5280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3">
      <c r="A130" s="4" t="s">
        <v>214</v>
      </c>
      <c r="B130" s="4"/>
      <c r="C130" s="5">
        <v>52000</v>
      </c>
      <c r="D130" s="15">
        <f t="shared" si="2"/>
        <v>8320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3">
      <c r="A131" s="4" t="s">
        <v>215</v>
      </c>
      <c r="B131" s="4"/>
      <c r="C131" s="5">
        <v>97000</v>
      </c>
      <c r="D131" s="15">
        <f t="shared" ref="D131:D194" si="4">C131*0.16</f>
        <v>15520</v>
      </c>
      <c r="E131" s="4" t="str">
        <f t="shared" ref="E131:E194" si="5">CONCATENATE(A131,"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3">
      <c r="A132" s="4" t="s">
        <v>216</v>
      </c>
      <c r="B132" s="4" t="s">
        <v>128</v>
      </c>
      <c r="C132" s="5"/>
      <c r="D132" s="1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3">
      <c r="A133" s="4" t="s">
        <v>217</v>
      </c>
      <c r="B133" s="4" t="s">
        <v>218</v>
      </c>
      <c r="C133" s="5">
        <v>131000</v>
      </c>
      <c r="D133" s="15">
        <f t="shared" si="4"/>
        <v>20960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3">
      <c r="A134" s="4" t="s">
        <v>219</v>
      </c>
      <c r="B134" s="4" t="s">
        <v>220</v>
      </c>
      <c r="C134" s="5">
        <v>169000</v>
      </c>
      <c r="D134" s="15">
        <f t="shared" si="4"/>
        <v>27040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3">
      <c r="A135" s="4" t="s">
        <v>221</v>
      </c>
      <c r="B135" s="4" t="s">
        <v>220</v>
      </c>
      <c r="C135" s="5">
        <v>190000</v>
      </c>
      <c r="D135" s="15">
        <f t="shared" si="4"/>
        <v>30400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3">
      <c r="A136" s="4" t="s">
        <v>222</v>
      </c>
      <c r="B136" s="4" t="s">
        <v>218</v>
      </c>
      <c r="C136" s="5">
        <v>191000</v>
      </c>
      <c r="D136" s="15">
        <f t="shared" si="4"/>
        <v>30560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3">
      <c r="A137" s="4" t="s">
        <v>223</v>
      </c>
      <c r="B137" s="4" t="s">
        <v>220</v>
      </c>
      <c r="C137" s="5">
        <v>197000</v>
      </c>
      <c r="D137" s="15">
        <f t="shared" si="4"/>
        <v>31520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3">
      <c r="A138" s="4" t="s">
        <v>224</v>
      </c>
      <c r="B138" s="4" t="s">
        <v>220</v>
      </c>
      <c r="C138" s="5">
        <v>201000</v>
      </c>
      <c r="D138" s="15">
        <f t="shared" si="4"/>
        <v>32160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3">
      <c r="A139" s="4" t="s">
        <v>225</v>
      </c>
      <c r="B139" s="4" t="s">
        <v>226</v>
      </c>
      <c r="C139" s="5">
        <v>220000</v>
      </c>
      <c r="D139" s="15">
        <f t="shared" si="4"/>
        <v>35200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3">
      <c r="A140" s="4" t="s">
        <v>227</v>
      </c>
      <c r="B140" s="4" t="s">
        <v>218</v>
      </c>
      <c r="C140" s="5">
        <v>250000</v>
      </c>
      <c r="D140" s="15">
        <f t="shared" si="4"/>
        <v>40000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3">
      <c r="A141" s="4" t="s">
        <v>228</v>
      </c>
      <c r="B141" s="4" t="s">
        <v>220</v>
      </c>
      <c r="C141" s="5">
        <v>257000</v>
      </c>
      <c r="D141" s="15">
        <f t="shared" si="4"/>
        <v>41120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3">
      <c r="A142" s="4" t="s">
        <v>229</v>
      </c>
      <c r="B142" s="4" t="s">
        <v>220</v>
      </c>
      <c r="C142" s="5">
        <v>278000</v>
      </c>
      <c r="D142" s="15">
        <f t="shared" si="4"/>
        <v>44480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3">
      <c r="A143" s="4" t="s">
        <v>230</v>
      </c>
      <c r="B143" s="4" t="s">
        <v>226</v>
      </c>
      <c r="C143" s="5">
        <v>280000</v>
      </c>
      <c r="D143" s="15">
        <f t="shared" si="4"/>
        <v>44800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3">
      <c r="A144" s="4" t="s">
        <v>231</v>
      </c>
      <c r="B144" s="4" t="s">
        <v>220</v>
      </c>
      <c r="C144" s="5">
        <v>300000</v>
      </c>
      <c r="D144" s="15">
        <f t="shared" si="4"/>
        <v>48000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3">
      <c r="A145" s="4" t="s">
        <v>232</v>
      </c>
      <c r="B145" s="4" t="s">
        <v>233</v>
      </c>
      <c r="C145" s="5">
        <v>305000</v>
      </c>
      <c r="D145" s="15">
        <f t="shared" si="4"/>
        <v>48800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3">
      <c r="A146" s="4" t="s">
        <v>234</v>
      </c>
      <c r="B146" s="4" t="s">
        <v>220</v>
      </c>
      <c r="C146" s="5">
        <v>335000</v>
      </c>
      <c r="D146" s="15">
        <f t="shared" si="4"/>
        <v>53600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3">
      <c r="A147" s="4" t="s">
        <v>235</v>
      </c>
      <c r="B147" s="4" t="s">
        <v>220</v>
      </c>
      <c r="C147" s="5">
        <v>360000</v>
      </c>
      <c r="D147" s="15">
        <f t="shared" si="4"/>
        <v>57600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3">
      <c r="A148" s="4" t="s">
        <v>236</v>
      </c>
      <c r="B148" s="4" t="s">
        <v>218</v>
      </c>
      <c r="C148" s="5">
        <v>429000</v>
      </c>
      <c r="D148" s="15">
        <f t="shared" si="4"/>
        <v>68640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3">
      <c r="A149" s="4" t="s">
        <v>237</v>
      </c>
      <c r="B149" s="4" t="s">
        <v>220</v>
      </c>
      <c r="C149" s="5">
        <v>701000</v>
      </c>
      <c r="D149" s="15">
        <f t="shared" si="4"/>
        <v>112160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4.25" customHeight="1" x14ac:dyDescent="0.3">
      <c r="A150" s="4" t="s">
        <v>238</v>
      </c>
      <c r="B150" s="4"/>
      <c r="C150" s="5"/>
      <c r="D150" s="1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3">
      <c r="A151" s="4" t="s">
        <v>239</v>
      </c>
      <c r="B151" s="4" t="s">
        <v>240</v>
      </c>
      <c r="C151" s="5">
        <v>90000</v>
      </c>
      <c r="D151" s="15">
        <f t="shared" si="4"/>
        <v>14400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3">
      <c r="A152" s="4" t="s">
        <v>241</v>
      </c>
      <c r="B152" s="4" t="s">
        <v>242</v>
      </c>
      <c r="C152" s="5">
        <v>69000</v>
      </c>
      <c r="D152" s="15">
        <f t="shared" si="4"/>
        <v>11040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3">
      <c r="A153" s="4" t="s">
        <v>243</v>
      </c>
      <c r="B153" s="4" t="s">
        <v>242</v>
      </c>
      <c r="C153" s="5">
        <v>89000</v>
      </c>
      <c r="D153" s="15">
        <f t="shared" si="4"/>
        <v>14240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3">
      <c r="A154" s="4" t="s">
        <v>244</v>
      </c>
      <c r="B154" s="4" t="s">
        <v>242</v>
      </c>
      <c r="C154" s="5">
        <v>138000</v>
      </c>
      <c r="D154" s="15">
        <f t="shared" si="4"/>
        <v>22080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3">
      <c r="A155" s="4" t="s">
        <v>245</v>
      </c>
      <c r="B155" s="4" t="s">
        <v>242</v>
      </c>
      <c r="C155" s="5">
        <v>196000</v>
      </c>
      <c r="D155" s="15">
        <f t="shared" si="4"/>
        <v>31360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3">
      <c r="A156" s="4" t="s">
        <v>246</v>
      </c>
      <c r="B156" s="4" t="s">
        <v>242</v>
      </c>
      <c r="C156" s="5">
        <v>329000</v>
      </c>
      <c r="D156" s="15">
        <f t="shared" si="4"/>
        <v>52640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3">
      <c r="A157" s="4" t="s">
        <v>247</v>
      </c>
      <c r="B157" s="4" t="s">
        <v>242</v>
      </c>
      <c r="C157" s="5">
        <v>295000</v>
      </c>
      <c r="D157" s="15">
        <f t="shared" si="4"/>
        <v>47200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3">
      <c r="A158" s="4" t="s">
        <v>248</v>
      </c>
      <c r="B158" s="4" t="s">
        <v>249</v>
      </c>
      <c r="C158" s="5">
        <v>19000</v>
      </c>
      <c r="D158" s="15">
        <f t="shared" si="4"/>
        <v>3040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3">
      <c r="A159" s="4" t="s">
        <v>250</v>
      </c>
      <c r="B159" s="4" t="s">
        <v>251</v>
      </c>
      <c r="C159" s="5">
        <v>26000</v>
      </c>
      <c r="D159" s="15">
        <f t="shared" si="4"/>
        <v>4160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3">
      <c r="A160" s="4" t="s">
        <v>252</v>
      </c>
      <c r="B160" s="4" t="s">
        <v>253</v>
      </c>
      <c r="C160" s="5">
        <v>28000</v>
      </c>
      <c r="D160" s="15">
        <f t="shared" si="4"/>
        <v>4480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3">
      <c r="A161" s="4" t="s">
        <v>254</v>
      </c>
      <c r="B161" s="4" t="s">
        <v>255</v>
      </c>
      <c r="C161" s="5">
        <v>56000</v>
      </c>
      <c r="D161" s="15">
        <f t="shared" si="4"/>
        <v>8960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3">
      <c r="A162" s="4" t="s">
        <v>256</v>
      </c>
      <c r="B162" s="4"/>
      <c r="C162" s="5"/>
      <c r="D162" s="1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3">
      <c r="A163" s="4" t="s">
        <v>257</v>
      </c>
      <c r="B163" s="4"/>
      <c r="C163" s="5">
        <v>216000</v>
      </c>
      <c r="D163" s="15">
        <f t="shared" si="4"/>
        <v>34560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3">
      <c r="A164" s="4" t="s">
        <v>258</v>
      </c>
      <c r="B164" s="4"/>
      <c r="C164" s="5">
        <v>250000</v>
      </c>
      <c r="D164" s="15">
        <f t="shared" si="4"/>
        <v>40000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3">
      <c r="A165" s="4" t="s">
        <v>259</v>
      </c>
      <c r="B165" s="4"/>
      <c r="C165" s="5">
        <v>382000</v>
      </c>
      <c r="D165" s="15">
        <f t="shared" si="4"/>
        <v>61120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3">
      <c r="A166" s="4" t="s">
        <v>260</v>
      </c>
      <c r="B166" s="4"/>
      <c r="C166" s="5">
        <v>524000</v>
      </c>
      <c r="D166" s="15">
        <f t="shared" si="4"/>
        <v>83840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3">
      <c r="A167" s="4" t="s">
        <v>261</v>
      </c>
      <c r="B167" s="4"/>
      <c r="C167" s="5">
        <v>757000</v>
      </c>
      <c r="D167" s="15">
        <f t="shared" si="4"/>
        <v>121120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3">
      <c r="A168" s="4" t="s">
        <v>262</v>
      </c>
      <c r="B168" s="4"/>
      <c r="C168" s="5">
        <v>1045000</v>
      </c>
      <c r="D168" s="15">
        <f t="shared" si="4"/>
        <v>167200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3">
      <c r="A169" s="4" t="s">
        <v>263</v>
      </c>
      <c r="B169" s="4"/>
      <c r="C169" s="5">
        <v>1568000</v>
      </c>
      <c r="D169" s="15">
        <f t="shared" si="4"/>
        <v>250880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3">
      <c r="A170" s="4" t="s">
        <v>264</v>
      </c>
      <c r="B170" s="4"/>
      <c r="C170" s="5">
        <v>117000</v>
      </c>
      <c r="D170" s="15">
        <f t="shared" si="4"/>
        <v>18720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3">
      <c r="A171" s="4" t="s">
        <v>265</v>
      </c>
      <c r="B171" s="4"/>
      <c r="C171" s="5">
        <v>158000</v>
      </c>
      <c r="D171" s="15">
        <f t="shared" si="4"/>
        <v>25280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3">
      <c r="A172" s="4" t="s">
        <v>266</v>
      </c>
      <c r="B172" s="4"/>
      <c r="C172" s="5">
        <v>260000</v>
      </c>
      <c r="D172" s="15">
        <f t="shared" si="4"/>
        <v>41600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3">
      <c r="A173" s="4" t="s">
        <v>267</v>
      </c>
      <c r="B173" s="4"/>
      <c r="C173" s="5">
        <v>193000</v>
      </c>
      <c r="D173" s="15">
        <f t="shared" si="4"/>
        <v>30880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3">
      <c r="A174" s="4" t="s">
        <v>268</v>
      </c>
      <c r="B174" s="4"/>
      <c r="C174" s="5">
        <v>270000</v>
      </c>
      <c r="D174" s="15">
        <f t="shared" si="4"/>
        <v>43200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3">
      <c r="A175" s="4" t="s">
        <v>269</v>
      </c>
      <c r="B175" s="4"/>
      <c r="C175" s="5">
        <v>314000</v>
      </c>
      <c r="D175" s="15">
        <f t="shared" si="4"/>
        <v>50240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3">
      <c r="A176" s="4" t="s">
        <v>270</v>
      </c>
      <c r="B176" s="4"/>
      <c r="C176" s="5">
        <v>894000</v>
      </c>
      <c r="D176" s="15">
        <f t="shared" si="4"/>
        <v>143040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3">
      <c r="A177" s="4" t="s">
        <v>271</v>
      </c>
      <c r="B177" s="4"/>
      <c r="C177" s="5">
        <v>1040000</v>
      </c>
      <c r="D177" s="15">
        <f t="shared" si="4"/>
        <v>166400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3">
      <c r="A178" s="4" t="s">
        <v>272</v>
      </c>
      <c r="B178" s="4"/>
      <c r="C178" s="5">
        <v>8000</v>
      </c>
      <c r="D178" s="15">
        <f t="shared" si="4"/>
        <v>1280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3">
      <c r="A179" s="4" t="s">
        <v>273</v>
      </c>
      <c r="B179" s="4"/>
      <c r="C179" s="5">
        <v>10000</v>
      </c>
      <c r="D179" s="15">
        <f t="shared" si="4"/>
        <v>1600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3">
      <c r="A180" s="4" t="s">
        <v>274</v>
      </c>
      <c r="B180" s="4"/>
      <c r="C180" s="5">
        <v>24000</v>
      </c>
      <c r="D180" s="15">
        <f t="shared" si="4"/>
        <v>3840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3">
      <c r="A181" s="4" t="s">
        <v>275</v>
      </c>
      <c r="B181" s="4" t="s">
        <v>128</v>
      </c>
      <c r="C181" s="5">
        <v>11000</v>
      </c>
      <c r="D181" s="15">
        <f t="shared" si="4"/>
        <v>1760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3">
      <c r="A182" s="4" t="s">
        <v>276</v>
      </c>
      <c r="B182" s="4" t="s">
        <v>128</v>
      </c>
      <c r="C182" s="5">
        <v>10000</v>
      </c>
      <c r="D182" s="15">
        <f t="shared" si="4"/>
        <v>1600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3">
      <c r="A183" s="4" t="s">
        <v>277</v>
      </c>
      <c r="B183" s="4" t="s">
        <v>128</v>
      </c>
      <c r="C183" s="5">
        <v>26000</v>
      </c>
      <c r="D183" s="15">
        <f t="shared" si="4"/>
        <v>4160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3">
      <c r="A184" s="4" t="s">
        <v>278</v>
      </c>
      <c r="B184" s="4"/>
      <c r="C184" s="5"/>
      <c r="D184" s="1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3">
      <c r="A185" s="4" t="s">
        <v>279</v>
      </c>
      <c r="B185" s="4" t="s">
        <v>280</v>
      </c>
      <c r="C185" s="5">
        <v>22000</v>
      </c>
      <c r="D185" s="15">
        <f t="shared" si="4"/>
        <v>3520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3">
      <c r="A186" s="4" t="s">
        <v>281</v>
      </c>
      <c r="B186" s="4" t="s">
        <v>282</v>
      </c>
      <c r="C186" s="5">
        <v>63000</v>
      </c>
      <c r="D186" s="15">
        <f t="shared" si="4"/>
        <v>10080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3">
      <c r="A187" s="4" t="s">
        <v>283</v>
      </c>
      <c r="B187" s="4" t="s">
        <v>282</v>
      </c>
      <c r="C187" s="5">
        <v>63000</v>
      </c>
      <c r="D187" s="15">
        <f t="shared" si="4"/>
        <v>10080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3">
      <c r="A188" s="4" t="s">
        <v>284</v>
      </c>
      <c r="B188" s="4" t="s">
        <v>282</v>
      </c>
      <c r="C188" s="5">
        <v>26000</v>
      </c>
      <c r="D188" s="15">
        <f t="shared" si="4"/>
        <v>4160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3">
      <c r="A189" s="4" t="s">
        <v>285</v>
      </c>
      <c r="B189" s="4" t="s">
        <v>286</v>
      </c>
      <c r="C189" s="5">
        <v>25000</v>
      </c>
      <c r="D189" s="15">
        <f t="shared" si="4"/>
        <v>4000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3">
      <c r="A190" s="4" t="s">
        <v>287</v>
      </c>
      <c r="B190" s="4" t="s">
        <v>286</v>
      </c>
      <c r="C190" s="5">
        <v>25000</v>
      </c>
      <c r="D190" s="15">
        <f t="shared" si="4"/>
        <v>4000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3">
      <c r="A191" s="4" t="s">
        <v>288</v>
      </c>
      <c r="B191" s="4" t="s">
        <v>286</v>
      </c>
      <c r="C191" s="5">
        <v>46000</v>
      </c>
      <c r="D191" s="15">
        <f t="shared" si="4"/>
        <v>7360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3">
      <c r="A192" s="4" t="s">
        <v>289</v>
      </c>
      <c r="B192" s="4"/>
      <c r="C192" s="5"/>
      <c r="D192" s="1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3">
      <c r="A193" s="4" t="s">
        <v>290</v>
      </c>
      <c r="B193" s="4" t="s">
        <v>291</v>
      </c>
      <c r="C193" s="5">
        <v>37000</v>
      </c>
      <c r="D193" s="15">
        <f t="shared" si="4"/>
        <v>5920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3">
      <c r="A194" s="4" t="s">
        <v>292</v>
      </c>
      <c r="B194" s="4" t="s">
        <v>291</v>
      </c>
      <c r="C194" s="5">
        <v>37000</v>
      </c>
      <c r="D194" s="15">
        <f t="shared" si="4"/>
        <v>5920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3">
      <c r="A195" s="4" t="s">
        <v>293</v>
      </c>
      <c r="B195" s="4" t="s">
        <v>294</v>
      </c>
      <c r="C195" s="5">
        <v>11000</v>
      </c>
      <c r="D195" s="15">
        <f t="shared" ref="D195:D258" si="6">C195*0.16</f>
        <v>1760</v>
      </c>
      <c r="E195" s="4" t="str">
        <f t="shared" ref="E195:E258" si="7">CONCATENATE(A195,"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3">
      <c r="A196" s="4" t="s">
        <v>295</v>
      </c>
      <c r="B196" s="4" t="s">
        <v>294</v>
      </c>
      <c r="C196" s="5">
        <v>46000</v>
      </c>
      <c r="D196" s="15">
        <f t="shared" si="6"/>
        <v>7360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3">
      <c r="A197" s="4" t="s">
        <v>296</v>
      </c>
      <c r="B197" s="4" t="s">
        <v>294</v>
      </c>
      <c r="C197" s="5">
        <v>19000</v>
      </c>
      <c r="D197" s="15">
        <f t="shared" si="6"/>
        <v>3040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3">
      <c r="A198" s="4" t="s">
        <v>297</v>
      </c>
      <c r="B198" s="4" t="s">
        <v>294</v>
      </c>
      <c r="C198" s="5">
        <v>13000</v>
      </c>
      <c r="D198" s="15">
        <f t="shared" si="6"/>
        <v>2080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3">
      <c r="A199" s="4" t="s">
        <v>298</v>
      </c>
      <c r="B199" s="4" t="s">
        <v>294</v>
      </c>
      <c r="C199" s="5">
        <v>26000</v>
      </c>
      <c r="D199" s="15">
        <f t="shared" si="6"/>
        <v>4160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3">
      <c r="A200" s="4" t="s">
        <v>299</v>
      </c>
      <c r="B200" s="4" t="s">
        <v>294</v>
      </c>
      <c r="C200" s="5">
        <v>26000</v>
      </c>
      <c r="D200" s="15">
        <f t="shared" si="6"/>
        <v>4160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3">
      <c r="A201" s="4" t="s">
        <v>300</v>
      </c>
      <c r="B201" s="4" t="s">
        <v>294</v>
      </c>
      <c r="C201" s="5">
        <v>20000</v>
      </c>
      <c r="D201" s="15">
        <f t="shared" si="6"/>
        <v>3200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3">
      <c r="A202" s="4" t="s">
        <v>301</v>
      </c>
      <c r="B202" s="4" t="s">
        <v>294</v>
      </c>
      <c r="C202" s="5">
        <v>49000</v>
      </c>
      <c r="D202" s="15">
        <f t="shared" si="6"/>
        <v>7840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3">
      <c r="A203" s="4" t="s">
        <v>302</v>
      </c>
      <c r="B203" s="4" t="s">
        <v>294</v>
      </c>
      <c r="C203" s="5">
        <v>33000</v>
      </c>
      <c r="D203" s="15">
        <f t="shared" si="6"/>
        <v>5280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3">
      <c r="A204" s="4" t="s">
        <v>303</v>
      </c>
      <c r="B204" s="4" t="s">
        <v>294</v>
      </c>
      <c r="C204" s="5">
        <v>68000</v>
      </c>
      <c r="D204" s="15">
        <f t="shared" si="6"/>
        <v>10880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3">
      <c r="A205" s="4" t="s">
        <v>304</v>
      </c>
      <c r="B205" s="4" t="s">
        <v>294</v>
      </c>
      <c r="C205" s="5">
        <v>33000</v>
      </c>
      <c r="D205" s="15">
        <f t="shared" si="6"/>
        <v>5280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3">
      <c r="A206" s="4" t="s">
        <v>305</v>
      </c>
      <c r="B206" s="4" t="s">
        <v>294</v>
      </c>
      <c r="C206" s="5">
        <v>147000</v>
      </c>
      <c r="D206" s="15">
        <f t="shared" si="6"/>
        <v>23520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3">
      <c r="A207" s="4" t="s">
        <v>306</v>
      </c>
      <c r="B207" s="4" t="s">
        <v>294</v>
      </c>
      <c r="C207" s="5">
        <v>151000</v>
      </c>
      <c r="D207" s="15">
        <f t="shared" si="6"/>
        <v>24160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3">
      <c r="A208" s="4" t="s">
        <v>307</v>
      </c>
      <c r="B208" s="4" t="s">
        <v>294</v>
      </c>
      <c r="C208" s="5">
        <v>197000</v>
      </c>
      <c r="D208" s="15">
        <f t="shared" si="6"/>
        <v>31520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3">
      <c r="A209" s="4" t="s">
        <v>308</v>
      </c>
      <c r="B209" s="4" t="s">
        <v>294</v>
      </c>
      <c r="C209" s="5">
        <v>310000</v>
      </c>
      <c r="D209" s="15">
        <f t="shared" si="6"/>
        <v>49600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3">
      <c r="A210" s="4" t="s">
        <v>309</v>
      </c>
      <c r="B210" s="4" t="s">
        <v>294</v>
      </c>
      <c r="C210" s="5">
        <v>271000</v>
      </c>
      <c r="D210" s="15">
        <f t="shared" si="6"/>
        <v>43360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3">
      <c r="A211" s="4" t="s">
        <v>310</v>
      </c>
      <c r="B211" s="4" t="s">
        <v>294</v>
      </c>
      <c r="C211" s="5">
        <v>458000</v>
      </c>
      <c r="D211" s="15">
        <f t="shared" si="6"/>
        <v>73280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3">
      <c r="A212" s="4" t="s">
        <v>311</v>
      </c>
      <c r="B212" s="4" t="s">
        <v>294</v>
      </c>
      <c r="C212" s="5">
        <v>412000</v>
      </c>
      <c r="D212" s="15">
        <f t="shared" si="6"/>
        <v>65920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3">
      <c r="A213" s="4" t="s">
        <v>312</v>
      </c>
      <c r="B213" s="4" t="s">
        <v>313</v>
      </c>
      <c r="C213" s="5">
        <v>807000</v>
      </c>
      <c r="D213" s="15">
        <f t="shared" si="6"/>
        <v>129120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3">
      <c r="A214" s="4" t="s">
        <v>314</v>
      </c>
      <c r="B214" s="4"/>
      <c r="C214" s="5">
        <v>4000</v>
      </c>
      <c r="D214" s="15">
        <f t="shared" si="6"/>
        <v>640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3">
      <c r="A215" s="4" t="s">
        <v>315</v>
      </c>
      <c r="B215" s="4"/>
      <c r="C215" s="5">
        <v>81000</v>
      </c>
      <c r="D215" s="15">
        <f t="shared" si="6"/>
        <v>12960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3">
      <c r="A216" s="4" t="s">
        <v>316</v>
      </c>
      <c r="B216" s="4"/>
      <c r="C216" s="5">
        <v>125000</v>
      </c>
      <c r="D216" s="15">
        <f t="shared" si="6"/>
        <v>20000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3">
      <c r="A217" s="4" t="s">
        <v>317</v>
      </c>
      <c r="B217" s="4"/>
      <c r="C217" s="5">
        <v>98000</v>
      </c>
      <c r="D217" s="15">
        <f t="shared" si="6"/>
        <v>15680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3">
      <c r="A218" s="4" t="s">
        <v>318</v>
      </c>
      <c r="B218" s="4"/>
      <c r="C218" s="5">
        <v>140000</v>
      </c>
      <c r="D218" s="15">
        <f t="shared" si="6"/>
        <v>22400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3">
      <c r="A219" s="4" t="s">
        <v>319</v>
      </c>
      <c r="B219" s="4" t="s">
        <v>320</v>
      </c>
      <c r="C219" s="5">
        <v>5000</v>
      </c>
      <c r="D219" s="15">
        <f t="shared" si="6"/>
        <v>800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3">
      <c r="A220" s="4" t="s">
        <v>319</v>
      </c>
      <c r="B220" s="4" t="s">
        <v>321</v>
      </c>
      <c r="C220" s="5">
        <v>6000</v>
      </c>
      <c r="D220" s="15">
        <f t="shared" si="6"/>
        <v>960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3">
      <c r="A221" s="4" t="s">
        <v>322</v>
      </c>
      <c r="B221" s="4"/>
      <c r="C221" s="5">
        <v>9000</v>
      </c>
      <c r="D221" s="15">
        <f t="shared" si="6"/>
        <v>1440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3">
      <c r="A222" s="4" t="s">
        <v>323</v>
      </c>
      <c r="B222" s="4" t="s">
        <v>324</v>
      </c>
      <c r="C222" s="5">
        <v>8000</v>
      </c>
      <c r="D222" s="15">
        <f t="shared" si="6"/>
        <v>1280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3">
      <c r="A223" s="4" t="s">
        <v>325</v>
      </c>
      <c r="B223" s="4"/>
      <c r="C223" s="5">
        <v>11000</v>
      </c>
      <c r="D223" s="15">
        <f t="shared" si="6"/>
        <v>1760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3">
      <c r="A224" s="4" t="s">
        <v>326</v>
      </c>
      <c r="B224" s="4" t="s">
        <v>327</v>
      </c>
      <c r="C224" s="5">
        <v>21000</v>
      </c>
      <c r="D224" s="15">
        <f t="shared" si="6"/>
        <v>3360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3">
      <c r="A225" s="4" t="s">
        <v>328</v>
      </c>
      <c r="B225" s="4" t="s">
        <v>294</v>
      </c>
      <c r="C225" s="5">
        <v>14000</v>
      </c>
      <c r="D225" s="15">
        <f t="shared" si="6"/>
        <v>2240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3">
      <c r="A226" s="4" t="s">
        <v>329</v>
      </c>
      <c r="B226" s="4" t="s">
        <v>294</v>
      </c>
      <c r="C226" s="5">
        <v>23000</v>
      </c>
      <c r="D226" s="15">
        <f t="shared" si="6"/>
        <v>3680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3">
      <c r="A227" s="4" t="s">
        <v>330</v>
      </c>
      <c r="B227" s="4" t="s">
        <v>294</v>
      </c>
      <c r="C227" s="5">
        <v>51000</v>
      </c>
      <c r="D227" s="15">
        <f t="shared" si="6"/>
        <v>8160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3">
      <c r="A228" s="4" t="s">
        <v>331</v>
      </c>
      <c r="B228" s="4"/>
      <c r="C228" s="5"/>
      <c r="D228" s="1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3">
      <c r="A229" s="4" t="s">
        <v>332</v>
      </c>
      <c r="B229" s="4" t="s">
        <v>333</v>
      </c>
      <c r="C229" s="5">
        <v>198000</v>
      </c>
      <c r="D229" s="15">
        <f t="shared" si="6"/>
        <v>31680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3">
      <c r="A230" s="4" t="s">
        <v>334</v>
      </c>
      <c r="B230" s="4" t="s">
        <v>333</v>
      </c>
      <c r="C230" s="5">
        <v>167000</v>
      </c>
      <c r="D230" s="15">
        <f t="shared" si="6"/>
        <v>26720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3">
      <c r="A231" s="4" t="s">
        <v>335</v>
      </c>
      <c r="B231" s="4" t="s">
        <v>336</v>
      </c>
      <c r="C231" s="5">
        <v>95000</v>
      </c>
      <c r="D231" s="15">
        <f t="shared" si="6"/>
        <v>15200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3">
      <c r="A232" s="4" t="s">
        <v>337</v>
      </c>
      <c r="B232" s="4" t="s">
        <v>336</v>
      </c>
      <c r="C232" s="5">
        <v>141000</v>
      </c>
      <c r="D232" s="15">
        <f t="shared" si="6"/>
        <v>22560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3">
      <c r="A233" s="4" t="s">
        <v>338</v>
      </c>
      <c r="B233" s="4" t="s">
        <v>333</v>
      </c>
      <c r="C233" s="5">
        <v>351000</v>
      </c>
      <c r="D233" s="15">
        <f t="shared" si="6"/>
        <v>56160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3">
      <c r="A234" s="4" t="s">
        <v>339</v>
      </c>
      <c r="B234" s="4" t="s">
        <v>340</v>
      </c>
      <c r="C234" s="5">
        <v>414000</v>
      </c>
      <c r="D234" s="15">
        <f t="shared" si="6"/>
        <v>66240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3">
      <c r="A235" s="4" t="s">
        <v>341</v>
      </c>
      <c r="B235" s="4" t="s">
        <v>333</v>
      </c>
      <c r="C235" s="5">
        <v>61000</v>
      </c>
      <c r="D235" s="15">
        <f t="shared" si="6"/>
        <v>9760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3">
      <c r="A236" s="4" t="s">
        <v>342</v>
      </c>
      <c r="B236" s="4" t="s">
        <v>333</v>
      </c>
      <c r="C236" s="5">
        <v>893000</v>
      </c>
      <c r="D236" s="15">
        <f t="shared" si="6"/>
        <v>142880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3">
      <c r="A237" s="4" t="s">
        <v>343</v>
      </c>
      <c r="B237" s="4" t="s">
        <v>333</v>
      </c>
      <c r="C237" s="5">
        <v>985000</v>
      </c>
      <c r="D237" s="15">
        <f t="shared" si="6"/>
        <v>157600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3">
      <c r="A238" s="4" t="s">
        <v>344</v>
      </c>
      <c r="B238" s="4" t="s">
        <v>333</v>
      </c>
      <c r="C238" s="5">
        <v>296000</v>
      </c>
      <c r="D238" s="15">
        <f t="shared" si="6"/>
        <v>47360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3">
      <c r="A239" s="4" t="s">
        <v>345</v>
      </c>
      <c r="B239" s="4" t="s">
        <v>333</v>
      </c>
      <c r="C239" s="5">
        <v>685000</v>
      </c>
      <c r="D239" s="15">
        <f t="shared" si="6"/>
        <v>109600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3">
      <c r="A240" s="4" t="s">
        <v>346</v>
      </c>
      <c r="B240" s="4" t="s">
        <v>333</v>
      </c>
      <c r="C240" s="5">
        <v>1138000</v>
      </c>
      <c r="D240" s="15">
        <f t="shared" si="6"/>
        <v>182080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3">
      <c r="A241" s="4" t="s">
        <v>347</v>
      </c>
      <c r="B241" s="4" t="s">
        <v>333</v>
      </c>
      <c r="C241" s="5">
        <v>1334000</v>
      </c>
      <c r="D241" s="15">
        <f t="shared" si="6"/>
        <v>213440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3">
      <c r="A242" s="4" t="s">
        <v>348</v>
      </c>
      <c r="B242" s="4" t="s">
        <v>128</v>
      </c>
      <c r="C242" s="5">
        <v>30000</v>
      </c>
      <c r="D242" s="15">
        <f t="shared" si="6"/>
        <v>4800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3">
      <c r="A243" s="4" t="s">
        <v>349</v>
      </c>
      <c r="B243" s="4" t="s">
        <v>128</v>
      </c>
      <c r="C243" s="5">
        <v>30000</v>
      </c>
      <c r="D243" s="15">
        <f t="shared" si="6"/>
        <v>4800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3">
      <c r="A244" s="4" t="s">
        <v>350</v>
      </c>
      <c r="B244" s="4" t="s">
        <v>351</v>
      </c>
      <c r="C244" s="5">
        <v>406000</v>
      </c>
      <c r="D244" s="15">
        <f t="shared" si="6"/>
        <v>64960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3">
      <c r="A245" s="4" t="s">
        <v>352</v>
      </c>
      <c r="B245" s="4" t="s">
        <v>351</v>
      </c>
      <c r="C245" s="5">
        <v>197000</v>
      </c>
      <c r="D245" s="15">
        <f t="shared" si="6"/>
        <v>31520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3">
      <c r="A246" s="4" t="s">
        <v>353</v>
      </c>
      <c r="B246" s="4" t="s">
        <v>351</v>
      </c>
      <c r="C246" s="5">
        <v>645000</v>
      </c>
      <c r="D246" s="15">
        <f t="shared" si="6"/>
        <v>103200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3">
      <c r="A247" s="4" t="s">
        <v>354</v>
      </c>
      <c r="B247" s="4" t="s">
        <v>351</v>
      </c>
      <c r="C247" s="5">
        <v>645000</v>
      </c>
      <c r="D247" s="15">
        <f t="shared" si="6"/>
        <v>103200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3">
      <c r="A248" s="4" t="s">
        <v>355</v>
      </c>
      <c r="B248" s="4" t="s">
        <v>351</v>
      </c>
      <c r="C248" s="5">
        <v>259000</v>
      </c>
      <c r="D248" s="15">
        <f t="shared" si="6"/>
        <v>41440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3">
      <c r="A249" s="4" t="s">
        <v>356</v>
      </c>
      <c r="B249" s="4" t="s">
        <v>351</v>
      </c>
      <c r="C249" s="5">
        <v>646000</v>
      </c>
      <c r="D249" s="15">
        <f t="shared" si="6"/>
        <v>103360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3">
      <c r="A250" s="4" t="s">
        <v>357</v>
      </c>
      <c r="B250" s="4" t="s">
        <v>351</v>
      </c>
      <c r="C250" s="5">
        <v>259000</v>
      </c>
      <c r="D250" s="15">
        <f t="shared" si="6"/>
        <v>41440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3">
      <c r="A251" s="4" t="s">
        <v>358</v>
      </c>
      <c r="B251" s="4" t="s">
        <v>351</v>
      </c>
      <c r="C251" s="5">
        <v>645000</v>
      </c>
      <c r="D251" s="15">
        <f t="shared" si="6"/>
        <v>103200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3">
      <c r="A252" s="4" t="s">
        <v>359</v>
      </c>
      <c r="B252" s="4" t="s">
        <v>351</v>
      </c>
      <c r="C252" s="5">
        <v>879000</v>
      </c>
      <c r="D252" s="15">
        <f t="shared" si="6"/>
        <v>140640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3">
      <c r="A253" s="4" t="s">
        <v>360</v>
      </c>
      <c r="B253" s="4" t="s">
        <v>351</v>
      </c>
      <c r="C253" s="5">
        <v>259000</v>
      </c>
      <c r="D253" s="15">
        <f t="shared" si="6"/>
        <v>41440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3">
      <c r="A254" s="4" t="s">
        <v>361</v>
      </c>
      <c r="B254" s="4" t="s">
        <v>351</v>
      </c>
      <c r="C254" s="5">
        <v>274000</v>
      </c>
      <c r="D254" s="15">
        <f t="shared" si="6"/>
        <v>43840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3">
      <c r="A255" s="4" t="s">
        <v>362</v>
      </c>
      <c r="B255" s="4" t="s">
        <v>351</v>
      </c>
      <c r="C255" s="5">
        <v>975000</v>
      </c>
      <c r="D255" s="15">
        <f t="shared" si="6"/>
        <v>156000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3">
      <c r="A256" s="4" t="s">
        <v>363</v>
      </c>
      <c r="B256" s="4" t="s">
        <v>351</v>
      </c>
      <c r="C256" s="5">
        <v>480000</v>
      </c>
      <c r="D256" s="15">
        <f t="shared" si="6"/>
        <v>76800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3">
      <c r="A257" s="4" t="s">
        <v>364</v>
      </c>
      <c r="B257" s="4" t="s">
        <v>351</v>
      </c>
      <c r="C257" s="5">
        <v>1187000</v>
      </c>
      <c r="D257" s="15">
        <f t="shared" si="6"/>
        <v>189920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3">
      <c r="A258" s="4" t="s">
        <v>365</v>
      </c>
      <c r="B258" s="4" t="s">
        <v>351</v>
      </c>
      <c r="C258" s="5">
        <v>832000</v>
      </c>
      <c r="D258" s="15">
        <f t="shared" si="6"/>
        <v>133120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3">
      <c r="A259" s="4" t="s">
        <v>366</v>
      </c>
      <c r="B259" s="4" t="s">
        <v>351</v>
      </c>
      <c r="C259" s="5">
        <v>227000</v>
      </c>
      <c r="D259" s="15">
        <f t="shared" ref="D259:D322" si="8">C259*0.16</f>
        <v>36320</v>
      </c>
      <c r="E259" s="4" t="str">
        <f t="shared" ref="E259:E322" si="9">CONCATENATE(A259,"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3">
      <c r="A260" s="4" t="s">
        <v>367</v>
      </c>
      <c r="B260" s="4" t="s">
        <v>351</v>
      </c>
      <c r="C260" s="5">
        <v>98000</v>
      </c>
      <c r="D260" s="15">
        <f t="shared" si="8"/>
        <v>15680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3">
      <c r="A261" s="4" t="s">
        <v>368</v>
      </c>
      <c r="B261" s="4" t="s">
        <v>351</v>
      </c>
      <c r="C261" s="5">
        <v>1190000</v>
      </c>
      <c r="D261" s="15">
        <f t="shared" si="8"/>
        <v>190400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3">
      <c r="A262" s="4" t="s">
        <v>369</v>
      </c>
      <c r="B262" s="4" t="s">
        <v>351</v>
      </c>
      <c r="C262" s="5">
        <v>300000</v>
      </c>
      <c r="D262" s="15">
        <f t="shared" si="8"/>
        <v>48000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3">
      <c r="A263" s="4" t="s">
        <v>370</v>
      </c>
      <c r="B263" s="4" t="s">
        <v>351</v>
      </c>
      <c r="C263" s="5">
        <v>2407000</v>
      </c>
      <c r="D263" s="15">
        <f t="shared" si="8"/>
        <v>385120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3">
      <c r="A264" s="4" t="s">
        <v>371</v>
      </c>
      <c r="B264" s="4" t="s">
        <v>351</v>
      </c>
      <c r="C264" s="5">
        <v>1021000</v>
      </c>
      <c r="D264" s="15">
        <f t="shared" si="8"/>
        <v>163360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3">
      <c r="A265" s="4" t="s">
        <v>372</v>
      </c>
      <c r="B265" s="4" t="s">
        <v>351</v>
      </c>
      <c r="C265" s="5">
        <v>646000</v>
      </c>
      <c r="D265" s="15">
        <f t="shared" si="8"/>
        <v>103360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3">
      <c r="A266" s="4" t="s">
        <v>373</v>
      </c>
      <c r="B266" s="4" t="s">
        <v>351</v>
      </c>
      <c r="C266" s="5">
        <v>259000</v>
      </c>
      <c r="D266" s="15">
        <f t="shared" si="8"/>
        <v>41440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3">
      <c r="A267" s="4" t="s">
        <v>374</v>
      </c>
      <c r="B267" s="4" t="s">
        <v>351</v>
      </c>
      <c r="C267" s="5">
        <v>193000</v>
      </c>
      <c r="D267" s="15">
        <f t="shared" si="8"/>
        <v>30880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3">
      <c r="A268" s="4" t="s">
        <v>375</v>
      </c>
      <c r="B268" s="4" t="s">
        <v>351</v>
      </c>
      <c r="C268" s="5">
        <v>96000</v>
      </c>
      <c r="D268" s="15">
        <f t="shared" si="8"/>
        <v>15360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3">
      <c r="A269" s="4" t="s">
        <v>376</v>
      </c>
      <c r="B269" s="4" t="s">
        <v>351</v>
      </c>
      <c r="C269" s="5">
        <v>594000</v>
      </c>
      <c r="D269" s="15">
        <f t="shared" si="8"/>
        <v>95040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3">
      <c r="A270" s="4" t="s">
        <v>377</v>
      </c>
      <c r="B270" s="4" t="s">
        <v>351</v>
      </c>
      <c r="C270" s="5">
        <v>282000</v>
      </c>
      <c r="D270" s="15">
        <f t="shared" si="8"/>
        <v>45120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3">
      <c r="A271" s="4" t="s">
        <v>378</v>
      </c>
      <c r="B271" s="4" t="s">
        <v>351</v>
      </c>
      <c r="C271" s="5">
        <v>1814000</v>
      </c>
      <c r="D271" s="15">
        <f t="shared" si="8"/>
        <v>290240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3">
      <c r="A272" s="4" t="s">
        <v>379</v>
      </c>
      <c r="B272" s="4" t="s">
        <v>351</v>
      </c>
      <c r="C272" s="5">
        <v>193000</v>
      </c>
      <c r="D272" s="15">
        <f t="shared" si="8"/>
        <v>30880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3">
      <c r="A273" s="4" t="s">
        <v>380</v>
      </c>
      <c r="B273" s="4" t="s">
        <v>351</v>
      </c>
      <c r="C273" s="5">
        <v>654000</v>
      </c>
      <c r="D273" s="15">
        <f t="shared" si="8"/>
        <v>104640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3">
      <c r="A274" s="4" t="s">
        <v>381</v>
      </c>
      <c r="B274" s="4" t="s">
        <v>351</v>
      </c>
      <c r="C274" s="5">
        <v>729000</v>
      </c>
      <c r="D274" s="15">
        <f t="shared" si="8"/>
        <v>116640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3">
      <c r="A275" s="4" t="s">
        <v>382</v>
      </c>
      <c r="B275" s="4" t="s">
        <v>351</v>
      </c>
      <c r="C275" s="5">
        <v>632000</v>
      </c>
      <c r="D275" s="15">
        <f t="shared" si="8"/>
        <v>101120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3">
      <c r="A276" s="4" t="s">
        <v>383</v>
      </c>
      <c r="B276" s="4" t="s">
        <v>351</v>
      </c>
      <c r="C276" s="5">
        <v>240000</v>
      </c>
      <c r="D276" s="15">
        <f t="shared" si="8"/>
        <v>38400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3">
      <c r="A277" s="4" t="s">
        <v>384</v>
      </c>
      <c r="B277" s="4" t="s">
        <v>385</v>
      </c>
      <c r="C277" s="5">
        <v>955000</v>
      </c>
      <c r="D277" s="15">
        <f t="shared" si="8"/>
        <v>152800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3">
      <c r="A278" s="4" t="s">
        <v>386</v>
      </c>
      <c r="B278" s="4" t="s">
        <v>385</v>
      </c>
      <c r="C278" s="5">
        <v>1126000</v>
      </c>
      <c r="D278" s="15">
        <f t="shared" si="8"/>
        <v>180160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3">
      <c r="A279" s="4" t="s">
        <v>387</v>
      </c>
      <c r="B279" s="4"/>
      <c r="C279" s="5"/>
      <c r="D279" s="1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3">
      <c r="A280" s="4" t="s">
        <v>388</v>
      </c>
      <c r="B280" s="4" t="s">
        <v>389</v>
      </c>
      <c r="C280" s="5">
        <v>297000</v>
      </c>
      <c r="D280" s="15">
        <f t="shared" si="8"/>
        <v>47520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3">
      <c r="A281" s="4" t="s">
        <v>390</v>
      </c>
      <c r="B281" s="4" t="s">
        <v>391</v>
      </c>
      <c r="C281" s="5">
        <v>646000</v>
      </c>
      <c r="D281" s="15">
        <f t="shared" si="8"/>
        <v>103360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3">
      <c r="A282" s="4" t="s">
        <v>392</v>
      </c>
      <c r="B282" s="4" t="s">
        <v>393</v>
      </c>
      <c r="C282" s="5">
        <v>714000</v>
      </c>
      <c r="D282" s="15">
        <f t="shared" si="8"/>
        <v>114240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3">
      <c r="A283" s="4" t="s">
        <v>394</v>
      </c>
      <c r="B283" s="4" t="s">
        <v>395</v>
      </c>
      <c r="C283" s="5">
        <v>807000</v>
      </c>
      <c r="D283" s="15">
        <f t="shared" si="8"/>
        <v>129120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3">
      <c r="A284" s="4" t="s">
        <v>396</v>
      </c>
      <c r="B284" s="4" t="s">
        <v>397</v>
      </c>
      <c r="C284" s="5">
        <v>591000</v>
      </c>
      <c r="D284" s="15">
        <f t="shared" si="8"/>
        <v>94560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3">
      <c r="A285" s="4" t="s">
        <v>398</v>
      </c>
      <c r="B285" s="4" t="s">
        <v>399</v>
      </c>
      <c r="C285" s="5">
        <v>918000</v>
      </c>
      <c r="D285" s="15">
        <f t="shared" si="8"/>
        <v>146880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3">
      <c r="A286" s="4" t="s">
        <v>400</v>
      </c>
      <c r="B286" s="4" t="s">
        <v>401</v>
      </c>
      <c r="C286" s="5">
        <v>1265000</v>
      </c>
      <c r="D286" s="15">
        <f t="shared" si="8"/>
        <v>202400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3">
      <c r="A287" s="4" t="s">
        <v>402</v>
      </c>
      <c r="B287" s="4" t="s">
        <v>403</v>
      </c>
      <c r="C287" s="5">
        <v>256000</v>
      </c>
      <c r="D287" s="15">
        <f t="shared" si="8"/>
        <v>40960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3">
      <c r="A288" s="4" t="s">
        <v>404</v>
      </c>
      <c r="B288" s="4" t="s">
        <v>405</v>
      </c>
      <c r="C288" s="5">
        <v>371000</v>
      </c>
      <c r="D288" s="15">
        <f t="shared" si="8"/>
        <v>59360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3">
      <c r="A289" s="4" t="s">
        <v>406</v>
      </c>
      <c r="B289" s="4" t="s">
        <v>407</v>
      </c>
      <c r="C289" s="5">
        <v>457000</v>
      </c>
      <c r="D289" s="15">
        <f t="shared" si="8"/>
        <v>73120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3">
      <c r="A290" s="4" t="s">
        <v>408</v>
      </c>
      <c r="B290" s="4" t="s">
        <v>409</v>
      </c>
      <c r="C290" s="5">
        <v>642000</v>
      </c>
      <c r="D290" s="15">
        <f t="shared" si="8"/>
        <v>102720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3">
      <c r="A291" s="4" t="s">
        <v>410</v>
      </c>
      <c r="B291" s="4" t="s">
        <v>411</v>
      </c>
      <c r="C291" s="5">
        <v>1571000</v>
      </c>
      <c r="D291" s="15">
        <f t="shared" si="8"/>
        <v>251360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3">
      <c r="A292" s="4" t="s">
        <v>412</v>
      </c>
      <c r="B292" s="4" t="s">
        <v>413</v>
      </c>
      <c r="C292" s="5">
        <v>756000</v>
      </c>
      <c r="D292" s="15">
        <f t="shared" si="8"/>
        <v>120960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3">
      <c r="A293" s="4" t="s">
        <v>414</v>
      </c>
      <c r="B293" s="4" t="s">
        <v>415</v>
      </c>
      <c r="C293" s="5">
        <v>1571000</v>
      </c>
      <c r="D293" s="15">
        <f t="shared" si="8"/>
        <v>251360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3">
      <c r="A294" s="4" t="s">
        <v>416</v>
      </c>
      <c r="B294" s="4" t="s">
        <v>417</v>
      </c>
      <c r="C294" s="5">
        <v>2716000</v>
      </c>
      <c r="D294" s="15">
        <f t="shared" si="8"/>
        <v>434560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3">
      <c r="A295" s="4" t="s">
        <v>418</v>
      </c>
      <c r="B295" s="4" t="s">
        <v>419</v>
      </c>
      <c r="C295" s="5">
        <v>640000</v>
      </c>
      <c r="D295" s="15">
        <f t="shared" si="8"/>
        <v>102400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3">
      <c r="A296" s="4" t="s">
        <v>420</v>
      </c>
      <c r="B296" s="4" t="s">
        <v>421</v>
      </c>
      <c r="C296" s="5">
        <v>255000</v>
      </c>
      <c r="D296" s="15">
        <f t="shared" si="8"/>
        <v>40800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3">
      <c r="A297" s="4" t="s">
        <v>422</v>
      </c>
      <c r="B297" s="4" t="s">
        <v>423</v>
      </c>
      <c r="C297" s="5">
        <v>413000</v>
      </c>
      <c r="D297" s="15">
        <f t="shared" si="8"/>
        <v>66080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3">
      <c r="A298" s="4" t="s">
        <v>424</v>
      </c>
      <c r="B298" s="4" t="s">
        <v>425</v>
      </c>
      <c r="C298" s="5">
        <v>361000</v>
      </c>
      <c r="D298" s="15">
        <f t="shared" si="8"/>
        <v>57760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3">
      <c r="A299" s="4" t="s">
        <v>426</v>
      </c>
      <c r="B299" s="4" t="s">
        <v>427</v>
      </c>
      <c r="C299" s="5">
        <v>544000</v>
      </c>
      <c r="D299" s="15">
        <f t="shared" si="8"/>
        <v>87040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3">
      <c r="A300" s="4" t="s">
        <v>428</v>
      </c>
      <c r="B300" s="4" t="s">
        <v>429</v>
      </c>
      <c r="C300" s="5">
        <v>678000</v>
      </c>
      <c r="D300" s="15">
        <f t="shared" si="8"/>
        <v>108480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3">
      <c r="A301" s="4" t="s">
        <v>430</v>
      </c>
      <c r="B301" s="4" t="s">
        <v>431</v>
      </c>
      <c r="C301" s="5">
        <v>1054000</v>
      </c>
      <c r="D301" s="15">
        <f t="shared" si="8"/>
        <v>168640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3">
      <c r="A302" s="4" t="s">
        <v>432</v>
      </c>
      <c r="B302" s="4" t="s">
        <v>433</v>
      </c>
      <c r="C302" s="5">
        <v>482000</v>
      </c>
      <c r="D302" s="15">
        <f t="shared" si="8"/>
        <v>77120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3">
      <c r="A303" s="4" t="s">
        <v>434</v>
      </c>
      <c r="B303" s="4" t="s">
        <v>435</v>
      </c>
      <c r="C303" s="5">
        <v>722000</v>
      </c>
      <c r="D303" s="15">
        <f t="shared" si="8"/>
        <v>115520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3">
      <c r="A304" s="4" t="s">
        <v>436</v>
      </c>
      <c r="B304" s="4" t="s">
        <v>437</v>
      </c>
      <c r="C304" s="5">
        <v>269000</v>
      </c>
      <c r="D304" s="15">
        <f t="shared" si="8"/>
        <v>43040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3">
      <c r="A305" s="4" t="s">
        <v>438</v>
      </c>
      <c r="B305" s="4" t="s">
        <v>437</v>
      </c>
      <c r="C305" s="5">
        <v>371000</v>
      </c>
      <c r="D305" s="15">
        <f t="shared" si="8"/>
        <v>59360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3">
      <c r="A306" s="4" t="s">
        <v>439</v>
      </c>
      <c r="B306" s="4" t="s">
        <v>440</v>
      </c>
      <c r="C306" s="5">
        <v>462000</v>
      </c>
      <c r="D306" s="15">
        <f t="shared" si="8"/>
        <v>73920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3">
      <c r="A307" s="4" t="s">
        <v>441</v>
      </c>
      <c r="B307" s="4" t="s">
        <v>442</v>
      </c>
      <c r="C307" s="5">
        <v>541000</v>
      </c>
      <c r="D307" s="15">
        <f t="shared" si="8"/>
        <v>86560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3">
      <c r="A308" s="4" t="s">
        <v>443</v>
      </c>
      <c r="B308" s="4" t="s">
        <v>444</v>
      </c>
      <c r="C308" s="5">
        <v>648000</v>
      </c>
      <c r="D308" s="15">
        <f t="shared" si="8"/>
        <v>103680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3">
      <c r="A309" s="4" t="s">
        <v>445</v>
      </c>
      <c r="B309" s="4" t="s">
        <v>446</v>
      </c>
      <c r="C309" s="5">
        <v>644000</v>
      </c>
      <c r="D309" s="15">
        <f t="shared" si="8"/>
        <v>103040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3">
      <c r="A310" s="4" t="s">
        <v>447</v>
      </c>
      <c r="B310" s="4" t="s">
        <v>448</v>
      </c>
      <c r="C310" s="5">
        <v>902000</v>
      </c>
      <c r="D310" s="15">
        <f t="shared" si="8"/>
        <v>144320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3">
      <c r="A311" s="4" t="s">
        <v>449</v>
      </c>
      <c r="B311" s="4" t="s">
        <v>450</v>
      </c>
      <c r="C311" s="5">
        <v>722000</v>
      </c>
      <c r="D311" s="15">
        <f t="shared" si="8"/>
        <v>115520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3">
      <c r="A312" s="4" t="s">
        <v>451</v>
      </c>
      <c r="B312" s="4" t="s">
        <v>450</v>
      </c>
      <c r="C312" s="5">
        <v>1457000</v>
      </c>
      <c r="D312" s="15">
        <f t="shared" si="8"/>
        <v>233120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3">
      <c r="A313" s="4" t="s">
        <v>452</v>
      </c>
      <c r="B313" s="4" t="s">
        <v>453</v>
      </c>
      <c r="C313" s="5">
        <v>1786000</v>
      </c>
      <c r="D313" s="15">
        <f t="shared" si="8"/>
        <v>285760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3">
      <c r="A314" s="4" t="s">
        <v>454</v>
      </c>
      <c r="B314" s="4"/>
      <c r="C314" s="5"/>
      <c r="D314" s="1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3">
      <c r="A315" s="4" t="s">
        <v>455</v>
      </c>
      <c r="B315" s="4" t="s">
        <v>456</v>
      </c>
      <c r="C315" s="5">
        <v>85000</v>
      </c>
      <c r="D315" s="15">
        <f t="shared" si="8"/>
        <v>13600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3">
      <c r="A316" s="4" t="s">
        <v>457</v>
      </c>
      <c r="B316" s="4" t="s">
        <v>456</v>
      </c>
      <c r="C316" s="5">
        <v>84000</v>
      </c>
      <c r="D316" s="15">
        <f t="shared" si="8"/>
        <v>13440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3">
      <c r="A317" s="4" t="s">
        <v>458</v>
      </c>
      <c r="B317" s="4" t="s">
        <v>459</v>
      </c>
      <c r="C317" s="5">
        <v>115000</v>
      </c>
      <c r="D317" s="15">
        <f t="shared" si="8"/>
        <v>18400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3">
      <c r="A318" s="4" t="s">
        <v>460</v>
      </c>
      <c r="B318" s="4" t="s">
        <v>459</v>
      </c>
      <c r="C318" s="5">
        <v>152000</v>
      </c>
      <c r="D318" s="15">
        <f t="shared" si="8"/>
        <v>24320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3">
      <c r="A319" s="4" t="s">
        <v>461</v>
      </c>
      <c r="B319" s="4" t="s">
        <v>456</v>
      </c>
      <c r="C319" s="5">
        <v>82000</v>
      </c>
      <c r="D319" s="15">
        <f t="shared" si="8"/>
        <v>13120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3">
      <c r="A320" s="4" t="s">
        <v>462</v>
      </c>
      <c r="B320" s="4" t="s">
        <v>456</v>
      </c>
      <c r="C320" s="5">
        <v>84000</v>
      </c>
      <c r="D320" s="15">
        <f t="shared" si="8"/>
        <v>13440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3">
      <c r="A321" s="4" t="s">
        <v>463</v>
      </c>
      <c r="B321" s="4" t="s">
        <v>464</v>
      </c>
      <c r="C321" s="5">
        <v>115000</v>
      </c>
      <c r="D321" s="15">
        <f t="shared" si="8"/>
        <v>18400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3">
      <c r="A322" s="4" t="s">
        <v>465</v>
      </c>
      <c r="B322" s="4" t="s">
        <v>464</v>
      </c>
      <c r="C322" s="5">
        <v>153000</v>
      </c>
      <c r="D322" s="15">
        <f t="shared" si="8"/>
        <v>24480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3">
      <c r="A323" s="4" t="s">
        <v>466</v>
      </c>
      <c r="B323" s="4" t="s">
        <v>464</v>
      </c>
      <c r="C323" s="5">
        <v>80000</v>
      </c>
      <c r="D323" s="15">
        <f t="shared" ref="D323:D337" si="10">C323*0.16</f>
        <v>12800</v>
      </c>
      <c r="E323" s="4" t="str">
        <f t="shared" ref="E323:E337" si="11">CONCATENATE(A323,"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3">
      <c r="A324" s="4" t="s">
        <v>467</v>
      </c>
      <c r="B324" s="4" t="s">
        <v>464</v>
      </c>
      <c r="C324" s="5">
        <v>102000</v>
      </c>
      <c r="D324" s="15">
        <f t="shared" si="10"/>
        <v>16320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3">
      <c r="A325" s="4" t="s">
        <v>468</v>
      </c>
      <c r="B325" s="4"/>
      <c r="C325" s="5"/>
      <c r="D325" s="1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3">
      <c r="A326" s="4" t="s">
        <v>469</v>
      </c>
      <c r="B326" s="4" t="s">
        <v>470</v>
      </c>
      <c r="C326" s="5">
        <v>198000</v>
      </c>
      <c r="D326" s="15">
        <f t="shared" si="10"/>
        <v>31680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3">
      <c r="A327" s="4" t="s">
        <v>471</v>
      </c>
      <c r="B327" s="4" t="s">
        <v>470</v>
      </c>
      <c r="C327" s="5">
        <v>233000</v>
      </c>
      <c r="D327" s="15">
        <f t="shared" si="10"/>
        <v>37280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3">
      <c r="A328" s="4" t="s">
        <v>472</v>
      </c>
      <c r="B328" s="4" t="s">
        <v>470</v>
      </c>
      <c r="C328" s="5">
        <v>279000</v>
      </c>
      <c r="D328" s="15">
        <f t="shared" si="10"/>
        <v>44640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3">
      <c r="A329" s="4" t="s">
        <v>473</v>
      </c>
      <c r="B329" s="4" t="s">
        <v>474</v>
      </c>
      <c r="C329" s="5">
        <v>298000</v>
      </c>
      <c r="D329" s="15">
        <f t="shared" si="10"/>
        <v>47680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3">
      <c r="A330" s="4" t="s">
        <v>475</v>
      </c>
      <c r="B330" s="4" t="s">
        <v>474</v>
      </c>
      <c r="C330" s="5">
        <v>478000</v>
      </c>
      <c r="D330" s="15">
        <f t="shared" si="10"/>
        <v>76480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3">
      <c r="A331" s="4" t="s">
        <v>476</v>
      </c>
      <c r="B331" s="4" t="s">
        <v>474</v>
      </c>
      <c r="C331" s="5">
        <v>626000</v>
      </c>
      <c r="D331" s="15">
        <f t="shared" si="10"/>
        <v>100160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3">
      <c r="A332" s="4" t="s">
        <v>477</v>
      </c>
      <c r="B332" s="4" t="s">
        <v>474</v>
      </c>
      <c r="C332" s="5">
        <v>757000</v>
      </c>
      <c r="D332" s="15">
        <f t="shared" si="10"/>
        <v>121120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3">
      <c r="A333" s="4" t="s">
        <v>478</v>
      </c>
      <c r="B333" s="4" t="s">
        <v>474</v>
      </c>
      <c r="C333" s="5">
        <v>1128000</v>
      </c>
      <c r="D333" s="15">
        <f t="shared" si="10"/>
        <v>180480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3">
      <c r="A334" s="4" t="s">
        <v>479</v>
      </c>
      <c r="B334" s="4" t="s">
        <v>474</v>
      </c>
      <c r="C334" s="5">
        <v>1527000</v>
      </c>
      <c r="D334" s="15">
        <f t="shared" si="10"/>
        <v>244320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3">
      <c r="A335" s="4" t="s">
        <v>480</v>
      </c>
      <c r="B335" s="4" t="s">
        <v>481</v>
      </c>
      <c r="C335" s="5">
        <v>4134000</v>
      </c>
      <c r="D335" s="15">
        <f t="shared" si="10"/>
        <v>661440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3">
      <c r="A336" s="4" t="s">
        <v>482</v>
      </c>
      <c r="B336" s="4" t="s">
        <v>481</v>
      </c>
      <c r="C336" s="5">
        <v>6850000</v>
      </c>
      <c r="D336" s="15">
        <f t="shared" si="10"/>
        <v>1096000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3">
      <c r="A337" s="4" t="s">
        <v>483</v>
      </c>
      <c r="B337" s="4" t="s">
        <v>481</v>
      </c>
      <c r="C337" s="5">
        <v>11712000</v>
      </c>
      <c r="D337" s="15">
        <f t="shared" si="10"/>
        <v>1873920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3">
      <c r="A338" s="4"/>
      <c r="B338" s="4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3">
      <c r="A339" s="4"/>
      <c r="B339" s="4"/>
      <c r="C339" s="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3">
      <c r="A340" s="4"/>
      <c r="B340" s="4"/>
      <c r="C340" s="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3">
      <c r="A341" s="4"/>
      <c r="B341" s="4"/>
      <c r="C341" s="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3">
      <c r="A342" s="4"/>
      <c r="B342" s="4"/>
      <c r="C342" s="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3">
      <c r="A343" s="4"/>
      <c r="B343" s="4"/>
      <c r="C343" s="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3">
      <c r="A344" s="4"/>
      <c r="B344" s="4"/>
      <c r="C344" s="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3">
      <c r="A345" s="4"/>
      <c r="B345" s="4"/>
      <c r="C345" s="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3">
      <c r="A346" s="4"/>
      <c r="B346" s="4"/>
      <c r="C346" s="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3">
      <c r="A347" s="4"/>
      <c r="B347" s="4"/>
      <c r="C347" s="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3">
      <c r="A348" s="4"/>
      <c r="B348" s="4"/>
      <c r="C348" s="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3">
      <c r="A349" s="4"/>
      <c r="B349" s="4"/>
      <c r="C349" s="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3">
      <c r="A350" s="4"/>
      <c r="B350" s="4"/>
      <c r="C350" s="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3">
      <c r="A351" s="4"/>
      <c r="B351" s="4"/>
      <c r="C351" s="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3">
      <c r="A352" s="4"/>
      <c r="B352" s="4"/>
      <c r="C352" s="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3">
      <c r="A353" s="4"/>
      <c r="B353" s="4"/>
      <c r="C353" s="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3">
      <c r="A354" s="4"/>
      <c r="B354" s="4"/>
      <c r="C354" s="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3">
      <c r="A355" s="4"/>
      <c r="B355" s="4"/>
      <c r="C355" s="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3">
      <c r="A356" s="4"/>
      <c r="B356" s="4"/>
      <c r="C356" s="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3">
      <c r="A357" s="4"/>
      <c r="B357" s="4"/>
      <c r="C357" s="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3">
      <c r="A358" s="4"/>
      <c r="B358" s="4"/>
      <c r="C358" s="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3">
      <c r="A359" s="4"/>
      <c r="B359" s="4"/>
      <c r="C359" s="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3">
      <c r="A360" s="4"/>
      <c r="B360" s="4"/>
      <c r="C360" s="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3">
      <c r="A361" s="4"/>
      <c r="B361" s="4"/>
      <c r="C361" s="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3">
      <c r="A362" s="4"/>
      <c r="B362" s="4"/>
      <c r="C362" s="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3">
      <c r="A363" s="4"/>
      <c r="B363" s="4"/>
      <c r="C363" s="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3">
      <c r="A364" s="4"/>
      <c r="B364" s="4"/>
      <c r="C364" s="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3">
      <c r="A365" s="4"/>
      <c r="B365" s="4"/>
      <c r="C365" s="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3">
      <c r="A366" s="4"/>
      <c r="B366" s="4"/>
      <c r="C366" s="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3">
      <c r="A367" s="4"/>
      <c r="B367" s="4"/>
      <c r="C367" s="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3">
      <c r="A368" s="4"/>
      <c r="B368" s="4"/>
      <c r="C368" s="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3">
      <c r="A369" s="4"/>
      <c r="B369" s="4"/>
      <c r="C369" s="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3">
      <c r="A370" s="4"/>
      <c r="B370" s="4"/>
      <c r="C370" s="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3">
      <c r="A371" s="4"/>
      <c r="B371" s="4"/>
      <c r="C371" s="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3">
      <c r="A372" s="4"/>
      <c r="B372" s="4"/>
      <c r="C372" s="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3">
      <c r="A373" s="4"/>
      <c r="B373" s="4"/>
      <c r="C373" s="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3">
      <c r="A374" s="4"/>
      <c r="B374" s="4"/>
      <c r="C374" s="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3">
      <c r="A375" s="4"/>
      <c r="B375" s="4"/>
      <c r="C375" s="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3">
      <c r="A376" s="4"/>
      <c r="B376" s="4"/>
      <c r="C376" s="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3">
      <c r="A377" s="4"/>
      <c r="B377" s="4"/>
      <c r="C377" s="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3">
      <c r="A378" s="4"/>
      <c r="B378" s="4"/>
      <c r="C378" s="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3">
      <c r="A379" s="4"/>
      <c r="B379" s="4"/>
      <c r="C379" s="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3">
      <c r="A380" s="4"/>
      <c r="B380" s="4"/>
      <c r="C380" s="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3">
      <c r="A381" s="4"/>
      <c r="B381" s="4"/>
      <c r="C381" s="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3">
      <c r="A382" s="4"/>
      <c r="B382" s="4"/>
      <c r="C382" s="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3">
      <c r="A383" s="4"/>
      <c r="B383" s="4"/>
      <c r="C383" s="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3">
      <c r="A384" s="4"/>
      <c r="B384" s="4"/>
      <c r="C384" s="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3">
      <c r="A385" s="4"/>
      <c r="B385" s="4"/>
      <c r="C385" s="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3">
      <c r="A386" s="4"/>
      <c r="B386" s="4"/>
      <c r="C386" s="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3">
      <c r="A387" s="4"/>
      <c r="B387" s="4"/>
      <c r="C387" s="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3">
      <c r="A388" s="4"/>
      <c r="B388" s="4"/>
      <c r="C388" s="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3">
      <c r="A389" s="4"/>
      <c r="B389" s="4"/>
      <c r="C389" s="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3">
      <c r="A390" s="4"/>
      <c r="B390" s="4"/>
      <c r="C390" s="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3">
      <c r="A391" s="4"/>
      <c r="B391" s="4"/>
      <c r="C391" s="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3">
      <c r="A392" s="4"/>
      <c r="B392" s="4"/>
      <c r="C392" s="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3">
      <c r="A393" s="4"/>
      <c r="B393" s="4"/>
      <c r="C393" s="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3">
      <c r="A394" s="4"/>
      <c r="B394" s="4"/>
      <c r="C394" s="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3">
      <c r="A395" s="4"/>
      <c r="B395" s="4"/>
      <c r="C395" s="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3">
      <c r="A396" s="4"/>
      <c r="B396" s="4"/>
      <c r="C396" s="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3">
      <c r="A397" s="4"/>
      <c r="B397" s="4"/>
      <c r="C397" s="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3">
      <c r="A398" s="4"/>
      <c r="B398" s="4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3">
      <c r="A399" s="4"/>
      <c r="B399" s="4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3">
      <c r="A400" s="4"/>
      <c r="B400" s="4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3">
      <c r="A401" s="4"/>
      <c r="B401" s="4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3">
      <c r="A402" s="4"/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3">
      <c r="A403" s="4"/>
      <c r="B403" s="4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3">
      <c r="A404" s="4"/>
      <c r="B404" s="4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3">
      <c r="A405" s="4"/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3">
      <c r="A406" s="4"/>
      <c r="B406" s="4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3">
      <c r="A407" s="4"/>
      <c r="B407" s="4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3">
      <c r="A408" s="4"/>
      <c r="B408" s="4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3">
      <c r="A409" s="4"/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3">
      <c r="A410" s="4"/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3">
      <c r="A411" s="4"/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3">
      <c r="A412" s="4"/>
      <c r="B412" s="4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3">
      <c r="A413" s="4"/>
      <c r="B413" s="4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3">
      <c r="A414" s="4"/>
      <c r="B414" s="4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3">
      <c r="A415" s="4"/>
      <c r="B415" s="4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3">
      <c r="A416" s="4"/>
      <c r="B416" s="4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3">
      <c r="A417" s="4"/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3">
      <c r="A418" s="4"/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3">
      <c r="A419" s="4"/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3">
      <c r="A420" s="4"/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3">
      <c r="A421" s="4"/>
      <c r="B421" s="4"/>
      <c r="C421" s="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3">
      <c r="A422" s="4"/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3">
      <c r="A423" s="4"/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3">
      <c r="A424" s="4"/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3">
      <c r="A425" s="4"/>
      <c r="B425" s="4"/>
      <c r="C425" s="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3">
      <c r="A426" s="4"/>
      <c r="B426" s="4"/>
      <c r="C426" s="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3">
      <c r="A427" s="4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3">
      <c r="A428" s="4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3">
      <c r="A429" s="4"/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3">
      <c r="A430" s="4"/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3">
      <c r="A431" s="4"/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3">
      <c r="A432" s="4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3">
      <c r="A433" s="4"/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3">
      <c r="A434" s="4"/>
      <c r="B434" s="4"/>
      <c r="C434" s="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3">
      <c r="A435" s="4"/>
      <c r="B435" s="4"/>
      <c r="C435" s="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3">
      <c r="A436" s="4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3">
      <c r="A437" s="4"/>
      <c r="B437" s="4"/>
      <c r="C437" s="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3">
      <c r="A438" s="4"/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3">
      <c r="A439" s="4"/>
      <c r="B439" s="4"/>
      <c r="C439" s="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3">
      <c r="A440" s="4"/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3">
      <c r="A441" s="4"/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3">
      <c r="A442" s="4"/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3">
      <c r="A443" s="4"/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3">
      <c r="A444" s="4"/>
      <c r="B444" s="4"/>
      <c r="C444" s="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3">
      <c r="A445" s="4"/>
      <c r="B445" s="4"/>
      <c r="C445" s="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3">
      <c r="A446" s="4"/>
      <c r="B446" s="4"/>
      <c r="C446" s="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3">
      <c r="A447" s="4"/>
      <c r="B447" s="4"/>
      <c r="C447" s="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3">
      <c r="A448" s="4"/>
      <c r="B448" s="4"/>
      <c r="C448" s="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3">
      <c r="A449" s="4"/>
      <c r="B449" s="4"/>
      <c r="C449" s="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3">
      <c r="A450" s="4"/>
      <c r="B450" s="4"/>
      <c r="C450" s="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3">
      <c r="A451" s="4"/>
      <c r="B451" s="4"/>
      <c r="C451" s="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3">
      <c r="A452" s="4"/>
      <c r="B452" s="4"/>
      <c r="C452" s="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3">
      <c r="A453" s="4"/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3">
      <c r="A454" s="4"/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3">
      <c r="A455" s="4"/>
      <c r="B455" s="4"/>
      <c r="C455" s="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3">
      <c r="A456" s="4"/>
      <c r="B456" s="4"/>
      <c r="C456" s="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3">
      <c r="A457" s="4"/>
      <c r="B457" s="4"/>
      <c r="C457" s="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3">
      <c r="A458" s="4"/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3">
      <c r="A459" s="4"/>
      <c r="B459" s="4"/>
      <c r="C459" s="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3">
      <c r="A460" s="4"/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3">
      <c r="A461" s="4"/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3">
      <c r="A462" s="4"/>
      <c r="B462" s="4"/>
      <c r="C462" s="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3">
      <c r="A463" s="4"/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3">
      <c r="A464" s="4"/>
      <c r="B464" s="4"/>
      <c r="C464" s="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3">
      <c r="A465" s="4"/>
      <c r="B465" s="4"/>
      <c r="C465" s="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3">
      <c r="A466" s="4"/>
      <c r="B466" s="4"/>
      <c r="C466" s="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3">
      <c r="A467" s="4"/>
      <c r="B467" s="4"/>
      <c r="C467" s="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3">
      <c r="A468" s="4"/>
      <c r="B468" s="4"/>
      <c r="C468" s="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3">
      <c r="A469" s="4"/>
      <c r="B469" s="4"/>
      <c r="C469" s="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3">
      <c r="A470" s="4"/>
      <c r="B470" s="4"/>
      <c r="C470" s="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3">
      <c r="A471" s="4"/>
      <c r="B471" s="4"/>
      <c r="C471" s="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3">
      <c r="A472" s="4"/>
      <c r="B472" s="4"/>
      <c r="C472" s="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3">
      <c r="A473" s="4"/>
      <c r="B473" s="4"/>
      <c r="C473" s="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3">
      <c r="A474" s="4"/>
      <c r="B474" s="4"/>
      <c r="C474" s="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3">
      <c r="A475" s="4"/>
      <c r="B475" s="4"/>
      <c r="C475" s="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3">
      <c r="A476" s="4"/>
      <c r="B476" s="4"/>
      <c r="C476" s="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3">
      <c r="A477" s="4"/>
      <c r="B477" s="4"/>
      <c r="C477" s="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3">
      <c r="A478" s="4"/>
      <c r="B478" s="4"/>
      <c r="C478" s="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3">
      <c r="A479" s="4"/>
      <c r="B479" s="4"/>
      <c r="C479" s="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3">
      <c r="A480" s="4"/>
      <c r="B480" s="4"/>
      <c r="C480" s="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3">
      <c r="A481" s="4"/>
      <c r="B481" s="4"/>
      <c r="C481" s="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3">
      <c r="A482" s="4"/>
      <c r="B482" s="4"/>
      <c r="C482" s="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3">
      <c r="A483" s="4"/>
      <c r="B483" s="4"/>
      <c r="C483" s="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3">
      <c r="A484" s="4"/>
      <c r="B484" s="4"/>
      <c r="C484" s="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3">
      <c r="A485" s="4"/>
      <c r="B485" s="4"/>
      <c r="C485" s="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3">
      <c r="A486" s="4"/>
      <c r="B486" s="4"/>
      <c r="C486" s="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3">
      <c r="A487" s="4"/>
      <c r="B487" s="4"/>
      <c r="C487" s="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3">
      <c r="A488" s="4"/>
      <c r="B488" s="4"/>
      <c r="C488" s="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3">
      <c r="A489" s="4"/>
      <c r="B489" s="4"/>
      <c r="C489" s="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3">
      <c r="A490" s="4"/>
      <c r="B490" s="4"/>
      <c r="C490" s="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3">
      <c r="A491" s="4"/>
      <c r="B491" s="4"/>
      <c r="C491" s="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3">
      <c r="A492" s="4"/>
      <c r="B492" s="4"/>
      <c r="C492" s="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3">
      <c r="A493" s="4"/>
      <c r="B493" s="4"/>
      <c r="C493" s="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3">
      <c r="A494" s="4"/>
      <c r="B494" s="4"/>
      <c r="C494" s="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3">
      <c r="A495" s="4"/>
      <c r="B495" s="4"/>
      <c r="C495" s="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3">
      <c r="A496" s="4"/>
      <c r="B496" s="4"/>
      <c r="C496" s="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3">
      <c r="A497" s="4"/>
      <c r="B497" s="4"/>
      <c r="C497" s="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3">
      <c r="A498" s="4"/>
      <c r="B498" s="4"/>
      <c r="C498" s="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3">
      <c r="A499" s="4"/>
      <c r="B499" s="4"/>
      <c r="C499" s="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3">
      <c r="A500" s="4"/>
      <c r="B500" s="4"/>
      <c r="C500" s="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3">
      <c r="A501" s="4"/>
      <c r="B501" s="4"/>
      <c r="C501" s="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3">
      <c r="A502" s="4"/>
      <c r="B502" s="4"/>
      <c r="C502" s="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3">
      <c r="A503" s="4"/>
      <c r="B503" s="4"/>
      <c r="C503" s="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3">
      <c r="A504" s="4"/>
      <c r="B504" s="4"/>
      <c r="C504" s="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3">
      <c r="A505" s="4"/>
      <c r="B505" s="4"/>
      <c r="C505" s="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3">
      <c r="A506" s="4"/>
      <c r="B506" s="4"/>
      <c r="C506" s="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3">
      <c r="A507" s="4"/>
      <c r="B507" s="4"/>
      <c r="C507" s="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3">
      <c r="A508" s="4"/>
      <c r="B508" s="4"/>
      <c r="C508" s="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3">
      <c r="A509" s="4"/>
      <c r="B509" s="4"/>
      <c r="C509" s="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3">
      <c r="A510" s="4"/>
      <c r="B510" s="4"/>
      <c r="C510" s="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3">
      <c r="A511" s="4"/>
      <c r="B511" s="4"/>
      <c r="C511" s="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3">
      <c r="A512" s="4"/>
      <c r="B512" s="4"/>
      <c r="C512" s="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3">
      <c r="A513" s="4"/>
      <c r="B513" s="4"/>
      <c r="C513" s="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3">
      <c r="A514" s="4"/>
      <c r="B514" s="4"/>
      <c r="C514" s="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3">
      <c r="A515" s="4"/>
      <c r="B515" s="4"/>
      <c r="C515" s="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3">
      <c r="A516" s="4"/>
      <c r="B516" s="4"/>
      <c r="C516" s="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3">
      <c r="A517" s="4"/>
      <c r="B517" s="4"/>
      <c r="C517" s="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3">
      <c r="A518" s="4"/>
      <c r="B518" s="4"/>
      <c r="C518" s="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3">
      <c r="A519" s="4"/>
      <c r="B519" s="4"/>
      <c r="C519" s="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3">
      <c r="A520" s="4"/>
      <c r="B520" s="4"/>
      <c r="C520" s="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3">
      <c r="A521" s="4"/>
      <c r="B521" s="4"/>
      <c r="C521" s="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3">
      <c r="A522" s="4"/>
      <c r="B522" s="4"/>
      <c r="C522" s="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3">
      <c r="A523" s="4"/>
      <c r="B523" s="4"/>
      <c r="C523" s="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3">
      <c r="A524" s="4"/>
      <c r="B524" s="4"/>
      <c r="C524" s="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3">
      <c r="A525" s="4"/>
      <c r="B525" s="4"/>
      <c r="C525" s="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3">
      <c r="A526" s="4"/>
      <c r="B526" s="4"/>
      <c r="C526" s="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3">
      <c r="A527" s="4"/>
      <c r="B527" s="4"/>
      <c r="C527" s="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3">
      <c r="A528" s="4"/>
      <c r="B528" s="4"/>
      <c r="C528" s="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3">
      <c r="A529" s="4"/>
      <c r="B529" s="4"/>
      <c r="C529" s="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3">
      <c r="A530" s="4"/>
      <c r="B530" s="4"/>
      <c r="C530" s="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3">
      <c r="A531" s="4"/>
      <c r="B531" s="4"/>
      <c r="C531" s="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3">
      <c r="A532" s="4"/>
      <c r="B532" s="4"/>
      <c r="C532" s="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3">
      <c r="A533" s="4"/>
      <c r="B533" s="4"/>
      <c r="C533" s="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3">
      <c r="A534" s="4"/>
      <c r="B534" s="4"/>
      <c r="C534" s="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3">
      <c r="A535" s="4"/>
      <c r="B535" s="4"/>
      <c r="C535" s="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3">
      <c r="A536" s="4"/>
      <c r="B536" s="4"/>
      <c r="C536" s="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3">
      <c r="A537" s="4"/>
      <c r="B537" s="4"/>
      <c r="C537" s="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3">
      <c r="A538" s="4"/>
      <c r="B538" s="4"/>
      <c r="C538" s="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3">
      <c r="A539" s="4"/>
      <c r="B539" s="4"/>
      <c r="C539" s="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3">
      <c r="A540" s="4"/>
      <c r="B540" s="4"/>
      <c r="C540" s="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3">
      <c r="A541" s="4"/>
      <c r="B541" s="4"/>
      <c r="C541" s="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3">
      <c r="A542" s="4"/>
      <c r="B542" s="4"/>
      <c r="C542" s="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3">
      <c r="A543" s="4"/>
      <c r="B543" s="4"/>
      <c r="C543" s="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3">
      <c r="A544" s="4"/>
      <c r="B544" s="4"/>
      <c r="C544" s="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3">
      <c r="A545" s="4"/>
      <c r="B545" s="4"/>
      <c r="C545" s="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3">
      <c r="A546" s="4"/>
      <c r="B546" s="4"/>
      <c r="C546" s="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3">
      <c r="A547" s="4"/>
      <c r="B547" s="4"/>
      <c r="C547" s="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3">
      <c r="A548" s="4"/>
      <c r="B548" s="4"/>
      <c r="C548" s="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3">
      <c r="A549" s="4"/>
      <c r="B549" s="4"/>
      <c r="C549" s="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3">
      <c r="A550" s="4"/>
      <c r="B550" s="4"/>
      <c r="C550" s="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3">
      <c r="A551" s="4"/>
      <c r="B551" s="4"/>
      <c r="C551" s="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3">
      <c r="A552" s="4"/>
      <c r="B552" s="4"/>
      <c r="C552" s="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3">
      <c r="A553" s="4"/>
      <c r="B553" s="4"/>
      <c r="C553" s="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3">
      <c r="A554" s="4"/>
      <c r="B554" s="4"/>
      <c r="C554" s="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3">
      <c r="A555" s="4"/>
      <c r="B555" s="4"/>
      <c r="C555" s="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3">
      <c r="A556" s="4"/>
      <c r="B556" s="4"/>
      <c r="C556" s="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3">
      <c r="A557" s="4"/>
      <c r="B557" s="4"/>
      <c r="C557" s="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3">
      <c r="A558" s="4"/>
      <c r="B558" s="4"/>
      <c r="C558" s="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3">
      <c r="A559" s="4"/>
      <c r="B559" s="4"/>
      <c r="C559" s="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3">
      <c r="A560" s="4"/>
      <c r="B560" s="4"/>
      <c r="C560" s="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3">
      <c r="A561" s="4"/>
      <c r="B561" s="4"/>
      <c r="C561" s="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3">
      <c r="A562" s="4"/>
      <c r="B562" s="4"/>
      <c r="C562" s="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3">
      <c r="A563" s="4"/>
      <c r="B563" s="4"/>
      <c r="C563" s="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3">
      <c r="A564" s="4"/>
      <c r="B564" s="4"/>
      <c r="C564" s="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3">
      <c r="A565" s="4"/>
      <c r="B565" s="4"/>
      <c r="C565" s="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3">
      <c r="A566" s="4"/>
      <c r="B566" s="4"/>
      <c r="C566" s="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3">
      <c r="A567" s="4"/>
      <c r="B567" s="4"/>
      <c r="C567" s="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3">
      <c r="A568" s="4"/>
      <c r="B568" s="4"/>
      <c r="C568" s="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3">
      <c r="A569" s="4"/>
      <c r="B569" s="4"/>
      <c r="C569" s="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3">
      <c r="A570" s="4"/>
      <c r="B570" s="4"/>
      <c r="C570" s="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3">
      <c r="A571" s="4"/>
      <c r="B571" s="4"/>
      <c r="C571" s="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3">
      <c r="A572" s="4"/>
      <c r="B572" s="4"/>
      <c r="C572" s="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3">
      <c r="A573" s="4"/>
      <c r="B573" s="4"/>
      <c r="C573" s="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3">
      <c r="A574" s="4"/>
      <c r="B574" s="4"/>
      <c r="C574" s="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3">
      <c r="A575" s="4"/>
      <c r="B575" s="4"/>
      <c r="C575" s="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3">
      <c r="A576" s="4"/>
      <c r="B576" s="4"/>
      <c r="C576" s="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3">
      <c r="A577" s="4"/>
      <c r="B577" s="4"/>
      <c r="C577" s="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3">
      <c r="A578" s="4"/>
      <c r="B578" s="4"/>
      <c r="C578" s="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3">
      <c r="A579" s="4"/>
      <c r="B579" s="4"/>
      <c r="C579" s="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3">
      <c r="A580" s="4"/>
      <c r="B580" s="4"/>
      <c r="C580" s="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3">
      <c r="A581" s="4"/>
      <c r="B581" s="4"/>
      <c r="C581" s="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3">
      <c r="A582" s="4"/>
      <c r="B582" s="4"/>
      <c r="C582" s="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3">
      <c r="A583" s="4"/>
      <c r="B583" s="4"/>
      <c r="C583" s="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3">
      <c r="A584" s="4"/>
      <c r="B584" s="4"/>
      <c r="C584" s="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3">
      <c r="A585" s="4"/>
      <c r="B585" s="4"/>
      <c r="C585" s="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3">
      <c r="A586" s="4"/>
      <c r="B586" s="4"/>
      <c r="C586" s="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3">
      <c r="A587" s="4"/>
      <c r="B587" s="4"/>
      <c r="C587" s="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3">
      <c r="A588" s="4"/>
      <c r="B588" s="4"/>
      <c r="C588" s="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3">
      <c r="A589" s="4"/>
      <c r="B589" s="4"/>
      <c r="C589" s="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3">
      <c r="A590" s="4"/>
      <c r="B590" s="4"/>
      <c r="C590" s="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3">
      <c r="A591" s="4"/>
      <c r="B591" s="4"/>
      <c r="C591" s="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3">
      <c r="A592" s="4"/>
      <c r="B592" s="4"/>
      <c r="C592" s="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3">
      <c r="A593" s="4"/>
      <c r="B593" s="4"/>
      <c r="C593" s="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3">
      <c r="A594" s="4"/>
      <c r="B594" s="4"/>
      <c r="C594" s="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3">
      <c r="A595" s="4"/>
      <c r="B595" s="4"/>
      <c r="C595" s="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3">
      <c r="A596" s="4"/>
      <c r="B596" s="4"/>
      <c r="C596" s="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3">
      <c r="A597" s="4"/>
      <c r="B597" s="4"/>
      <c r="C597" s="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3">
      <c r="A598" s="4"/>
      <c r="B598" s="4"/>
      <c r="C598" s="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3">
      <c r="A599" s="4"/>
      <c r="B599" s="4"/>
      <c r="C599" s="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3">
      <c r="A600" s="4"/>
      <c r="B600" s="4"/>
      <c r="C600" s="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3">
      <c r="A601" s="4"/>
      <c r="B601" s="4"/>
      <c r="C601" s="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3">
      <c r="A602" s="4"/>
      <c r="B602" s="4"/>
      <c r="C602" s="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3">
      <c r="A603" s="4"/>
      <c r="B603" s="4"/>
      <c r="C603" s="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3">
      <c r="A604" s="4"/>
      <c r="B604" s="4"/>
      <c r="C604" s="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3">
      <c r="A605" s="4"/>
      <c r="B605" s="4"/>
      <c r="C605" s="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3">
      <c r="A606" s="4"/>
      <c r="B606" s="4"/>
      <c r="C606" s="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3">
      <c r="A607" s="4"/>
      <c r="B607" s="4"/>
      <c r="C607" s="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3">
      <c r="A608" s="4"/>
      <c r="B608" s="4"/>
      <c r="C608" s="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3">
      <c r="A609" s="4"/>
      <c r="B609" s="4"/>
      <c r="C609" s="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3">
      <c r="A610" s="4"/>
      <c r="B610" s="4"/>
      <c r="C610" s="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3">
      <c r="A611" s="4"/>
      <c r="B611" s="4"/>
      <c r="C611" s="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3">
      <c r="A612" s="4"/>
      <c r="B612" s="4"/>
      <c r="C612" s="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3">
      <c r="A613" s="4"/>
      <c r="B613" s="4"/>
      <c r="C613" s="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3">
      <c r="A614" s="4"/>
      <c r="B614" s="4"/>
      <c r="C614" s="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3">
      <c r="A615" s="4"/>
      <c r="B615" s="4"/>
      <c r="C615" s="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3">
      <c r="A616" s="4"/>
      <c r="B616" s="4"/>
      <c r="C616" s="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3">
      <c r="A617" s="4"/>
      <c r="B617" s="4"/>
      <c r="C617" s="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3">
      <c r="A618" s="4"/>
      <c r="B618" s="4"/>
      <c r="C618" s="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3">
      <c r="A619" s="4"/>
      <c r="B619" s="4"/>
      <c r="C619" s="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3">
      <c r="A620" s="4"/>
      <c r="B620" s="4"/>
      <c r="C620" s="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3">
      <c r="A621" s="4"/>
      <c r="B621" s="4"/>
      <c r="C621" s="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3">
      <c r="A622" s="4"/>
      <c r="B622" s="4"/>
      <c r="C622" s="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3">
      <c r="A623" s="4"/>
      <c r="B623" s="4"/>
      <c r="C623" s="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3">
      <c r="A624" s="4"/>
      <c r="B624" s="4"/>
      <c r="C624" s="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3">
      <c r="A625" s="4"/>
      <c r="B625" s="4"/>
      <c r="C625" s="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3">
      <c r="A626" s="4"/>
      <c r="B626" s="4"/>
      <c r="C626" s="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3">
      <c r="A627" s="4"/>
      <c r="B627" s="4"/>
      <c r="C627" s="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3">
      <c r="A628" s="4"/>
      <c r="B628" s="4"/>
      <c r="C628" s="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3">
      <c r="A629" s="4"/>
      <c r="B629" s="4"/>
      <c r="C629" s="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3">
      <c r="A630" s="4"/>
      <c r="B630" s="4"/>
      <c r="C630" s="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3">
      <c r="A631" s="4"/>
      <c r="B631" s="4"/>
      <c r="C631" s="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3">
      <c r="A632" s="4"/>
      <c r="B632" s="4"/>
      <c r="C632" s="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3">
      <c r="A633" s="4"/>
      <c r="B633" s="4"/>
      <c r="C633" s="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3">
      <c r="A634" s="4"/>
      <c r="B634" s="4"/>
      <c r="C634" s="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3">
      <c r="A635" s="4"/>
      <c r="B635" s="4"/>
      <c r="C635" s="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3">
      <c r="A636" s="4"/>
      <c r="B636" s="4"/>
      <c r="C636" s="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3">
      <c r="A637" s="4"/>
      <c r="B637" s="4"/>
      <c r="C637" s="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3">
      <c r="A638" s="4"/>
      <c r="B638" s="4"/>
      <c r="C638" s="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3">
      <c r="A639" s="4"/>
      <c r="B639" s="4"/>
      <c r="C639" s="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3">
      <c r="A640" s="4"/>
      <c r="B640" s="4"/>
      <c r="C640" s="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3">
      <c r="A641" s="4"/>
      <c r="B641" s="4"/>
      <c r="C641" s="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3">
      <c r="A642" s="4"/>
      <c r="B642" s="4"/>
      <c r="C642" s="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3">
      <c r="A643" s="4"/>
      <c r="B643" s="4"/>
      <c r="C643" s="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3">
      <c r="A644" s="4"/>
      <c r="B644" s="4"/>
      <c r="C644" s="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3">
      <c r="A645" s="4"/>
      <c r="B645" s="4"/>
      <c r="C645" s="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3">
      <c r="A646" s="4"/>
      <c r="B646" s="4"/>
      <c r="C646" s="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3">
      <c r="A647" s="4"/>
      <c r="B647" s="4"/>
      <c r="C647" s="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3">
      <c r="A648" s="4"/>
      <c r="B648" s="4"/>
      <c r="C648" s="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3">
      <c r="A649" s="4"/>
      <c r="B649" s="4"/>
      <c r="C649" s="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3">
      <c r="A650" s="4"/>
      <c r="B650" s="4"/>
      <c r="C650" s="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3">
      <c r="A651" s="4"/>
      <c r="B651" s="4"/>
      <c r="C651" s="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3">
      <c r="A652" s="4"/>
      <c r="B652" s="4"/>
      <c r="C652" s="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3">
      <c r="A653" s="4"/>
      <c r="B653" s="4"/>
      <c r="C653" s="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3">
      <c r="A654" s="4"/>
      <c r="B654" s="4"/>
      <c r="C654" s="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3">
      <c r="A655" s="4"/>
      <c r="B655" s="4"/>
      <c r="C655" s="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3">
      <c r="A656" s="4"/>
      <c r="B656" s="4"/>
      <c r="C656" s="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3">
      <c r="A657" s="4"/>
      <c r="B657" s="4"/>
      <c r="C657" s="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3">
      <c r="A658" s="4"/>
      <c r="B658" s="4"/>
      <c r="C658" s="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3">
      <c r="A659" s="4"/>
      <c r="B659" s="4"/>
      <c r="C659" s="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3">
      <c r="A660" s="4"/>
      <c r="B660" s="4"/>
      <c r="C660" s="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3">
      <c r="A661" s="4"/>
      <c r="B661" s="4"/>
      <c r="C661" s="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3">
      <c r="A662" s="4"/>
      <c r="B662" s="4"/>
      <c r="C662" s="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3">
      <c r="A663" s="4"/>
      <c r="B663" s="4"/>
      <c r="C663" s="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3">
      <c r="A664" s="4"/>
      <c r="B664" s="4"/>
      <c r="C664" s="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3">
      <c r="A665" s="4"/>
      <c r="B665" s="4"/>
      <c r="C665" s="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3">
      <c r="A666" s="4"/>
      <c r="B666" s="4"/>
      <c r="C666" s="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3">
      <c r="A667" s="4"/>
      <c r="B667" s="4"/>
      <c r="C667" s="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3">
      <c r="A668" s="4"/>
      <c r="B668" s="4"/>
      <c r="C668" s="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3">
      <c r="A669" s="4"/>
      <c r="B669" s="4"/>
      <c r="C669" s="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3">
      <c r="A670" s="4"/>
      <c r="B670" s="4"/>
      <c r="C670" s="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3">
      <c r="A671" s="4"/>
      <c r="B671" s="4"/>
      <c r="C671" s="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3">
      <c r="A672" s="4"/>
      <c r="B672" s="4"/>
      <c r="C672" s="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3">
      <c r="A673" s="4"/>
      <c r="B673" s="4"/>
      <c r="C673" s="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3">
      <c r="A674" s="4"/>
      <c r="B674" s="4"/>
      <c r="C674" s="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3">
      <c r="A675" s="4"/>
      <c r="B675" s="4"/>
      <c r="C675" s="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3">
      <c r="A676" s="4"/>
      <c r="B676" s="4"/>
      <c r="C676" s="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3">
      <c r="A677" s="4"/>
      <c r="B677" s="4"/>
      <c r="C677" s="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3">
      <c r="A678" s="4"/>
      <c r="B678" s="4"/>
      <c r="C678" s="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3">
      <c r="A679" s="4"/>
      <c r="B679" s="4"/>
      <c r="C679" s="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3">
      <c r="A680" s="4"/>
      <c r="B680" s="4"/>
      <c r="C680" s="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3">
      <c r="A681" s="4"/>
      <c r="B681" s="4"/>
      <c r="C681" s="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3">
      <c r="A682" s="4"/>
      <c r="B682" s="4"/>
      <c r="C682" s="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3">
      <c r="A683" s="4"/>
      <c r="B683" s="4"/>
      <c r="C683" s="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3">
      <c r="A684" s="4"/>
      <c r="B684" s="4"/>
      <c r="C684" s="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3">
      <c r="A685" s="4"/>
      <c r="B685" s="4"/>
      <c r="C685" s="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3">
      <c r="A686" s="4"/>
      <c r="B686" s="4"/>
      <c r="C686" s="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3">
      <c r="A687" s="4"/>
      <c r="B687" s="4"/>
      <c r="C687" s="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3">
      <c r="A688" s="4"/>
      <c r="B688" s="4"/>
      <c r="C688" s="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3">
      <c r="A689" s="4"/>
      <c r="B689" s="4"/>
      <c r="C689" s="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3">
      <c r="A690" s="4"/>
      <c r="B690" s="4"/>
      <c r="C690" s="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3">
      <c r="A691" s="4"/>
      <c r="B691" s="4"/>
      <c r="C691" s="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3">
      <c r="A692" s="4"/>
      <c r="B692" s="4"/>
      <c r="C692" s="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3">
      <c r="A693" s="4"/>
      <c r="B693" s="4"/>
      <c r="C693" s="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3">
      <c r="A694" s="4"/>
      <c r="B694" s="4"/>
      <c r="C694" s="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3">
      <c r="A695" s="4"/>
      <c r="B695" s="4"/>
      <c r="C695" s="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3">
      <c r="A696" s="4"/>
      <c r="B696" s="4"/>
      <c r="C696" s="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3">
      <c r="A697" s="4"/>
      <c r="B697" s="4"/>
      <c r="C697" s="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3">
      <c r="A698" s="4"/>
      <c r="B698" s="4"/>
      <c r="C698" s="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3">
      <c r="A699" s="4"/>
      <c r="B699" s="4"/>
      <c r="C699" s="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3">
      <c r="A700" s="4"/>
      <c r="B700" s="4"/>
      <c r="C700" s="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3">
      <c r="A701" s="4"/>
      <c r="B701" s="4"/>
      <c r="C701" s="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3">
      <c r="A702" s="4"/>
      <c r="B702" s="4"/>
      <c r="C702" s="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3">
      <c r="A703" s="4"/>
      <c r="B703" s="4"/>
      <c r="C703" s="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3">
      <c r="A704" s="4"/>
      <c r="B704" s="4"/>
      <c r="C704" s="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3">
      <c r="A705" s="4"/>
      <c r="B705" s="4"/>
      <c r="C705" s="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3">
      <c r="A706" s="4"/>
      <c r="B706" s="4"/>
      <c r="C706" s="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3">
      <c r="A707" s="4"/>
      <c r="B707" s="4"/>
      <c r="C707" s="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3">
      <c r="A708" s="4"/>
      <c r="B708" s="4"/>
      <c r="C708" s="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3">
      <c r="A709" s="4"/>
      <c r="B709" s="4"/>
      <c r="C709" s="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3">
      <c r="A710" s="4"/>
      <c r="B710" s="4"/>
      <c r="C710" s="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3">
      <c r="A711" s="4"/>
      <c r="B711" s="4"/>
      <c r="C711" s="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3">
      <c r="A712" s="4"/>
      <c r="B712" s="4"/>
      <c r="C712" s="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3">
      <c r="A713" s="4"/>
      <c r="B713" s="4"/>
      <c r="C713" s="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3">
      <c r="A714" s="4"/>
      <c r="B714" s="4"/>
      <c r="C714" s="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3">
      <c r="A715" s="4"/>
      <c r="B715" s="4"/>
      <c r="C715" s="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3">
      <c r="A716" s="4"/>
      <c r="B716" s="4"/>
      <c r="C716" s="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3">
      <c r="A717" s="4"/>
      <c r="B717" s="4"/>
      <c r="C717" s="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3">
      <c r="A718" s="4"/>
      <c r="B718" s="4"/>
      <c r="C718" s="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3">
      <c r="A719" s="4"/>
      <c r="B719" s="4"/>
      <c r="C719" s="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3">
      <c r="A720" s="4"/>
      <c r="B720" s="4"/>
      <c r="C720" s="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3">
      <c r="A721" s="4"/>
      <c r="B721" s="4"/>
      <c r="C721" s="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3">
      <c r="A722" s="4"/>
      <c r="B722" s="4"/>
      <c r="C722" s="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3">
      <c r="A723" s="4"/>
      <c r="B723" s="4"/>
      <c r="C723" s="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3">
      <c r="A724" s="4"/>
      <c r="B724" s="4"/>
      <c r="C724" s="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3">
      <c r="A725" s="4"/>
      <c r="B725" s="4"/>
      <c r="C725" s="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3">
      <c r="A726" s="4"/>
      <c r="B726" s="4"/>
      <c r="C726" s="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3">
      <c r="A727" s="4"/>
      <c r="B727" s="4"/>
      <c r="C727" s="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3">
      <c r="A728" s="4"/>
      <c r="B728" s="4"/>
      <c r="C728" s="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3">
      <c r="A729" s="4"/>
      <c r="B729" s="4"/>
      <c r="C729" s="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3">
      <c r="A730" s="4"/>
      <c r="B730" s="4"/>
      <c r="C730" s="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3">
      <c r="A731" s="4"/>
      <c r="B731" s="4"/>
      <c r="C731" s="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3">
      <c r="A732" s="4"/>
      <c r="B732" s="4"/>
      <c r="C732" s="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3">
      <c r="A733" s="4"/>
      <c r="B733" s="4"/>
      <c r="C733" s="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3">
      <c r="A734" s="4"/>
      <c r="B734" s="4"/>
      <c r="C734" s="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3">
      <c r="A735" s="4"/>
      <c r="B735" s="4"/>
      <c r="C735" s="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3">
      <c r="A736" s="4"/>
      <c r="B736" s="4"/>
      <c r="C736" s="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3">
      <c r="A737" s="4"/>
      <c r="B737" s="4"/>
      <c r="C737" s="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3">
      <c r="A738" s="4"/>
      <c r="B738" s="4"/>
      <c r="C738" s="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3">
      <c r="A739" s="4"/>
      <c r="B739" s="4"/>
      <c r="C739" s="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3">
      <c r="A740" s="4"/>
      <c r="B740" s="4"/>
      <c r="C740" s="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3">
      <c r="A741" s="4"/>
      <c r="B741" s="4"/>
      <c r="C741" s="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3">
      <c r="A742" s="4"/>
      <c r="B742" s="4"/>
      <c r="C742" s="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3">
      <c r="A743" s="4"/>
      <c r="B743" s="4"/>
      <c r="C743" s="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3">
      <c r="A744" s="4"/>
      <c r="B744" s="4"/>
      <c r="C744" s="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3">
      <c r="A745" s="4"/>
      <c r="B745" s="4"/>
      <c r="C745" s="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3">
      <c r="A746" s="4"/>
      <c r="B746" s="4"/>
      <c r="C746" s="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3">
      <c r="A747" s="4"/>
      <c r="B747" s="4"/>
      <c r="C747" s="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3">
      <c r="A748" s="4"/>
      <c r="B748" s="4"/>
      <c r="C748" s="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3">
      <c r="A749" s="4"/>
      <c r="B749" s="4"/>
      <c r="C749" s="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3">
      <c r="A750" s="4"/>
      <c r="B750" s="4"/>
      <c r="C750" s="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3">
      <c r="A751" s="4"/>
      <c r="B751" s="4"/>
      <c r="C751" s="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3">
      <c r="A752" s="4"/>
      <c r="B752" s="4"/>
      <c r="C752" s="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3">
      <c r="A753" s="4"/>
      <c r="B753" s="4"/>
      <c r="C753" s="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3">
      <c r="A754" s="4"/>
      <c r="B754" s="4"/>
      <c r="C754" s="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3">
      <c r="A755" s="4"/>
      <c r="B755" s="4"/>
      <c r="C755" s="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3">
      <c r="A756" s="4"/>
      <c r="B756" s="4"/>
      <c r="C756" s="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3">
      <c r="A757" s="4"/>
      <c r="B757" s="4"/>
      <c r="C757" s="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3">
      <c r="A758" s="4"/>
      <c r="B758" s="4"/>
      <c r="C758" s="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3">
      <c r="A759" s="4"/>
      <c r="B759" s="4"/>
      <c r="C759" s="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3">
      <c r="A760" s="4"/>
      <c r="B760" s="4"/>
      <c r="C760" s="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3">
      <c r="A761" s="4"/>
      <c r="B761" s="4"/>
      <c r="C761" s="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3">
      <c r="A762" s="4"/>
      <c r="B762" s="4"/>
      <c r="C762" s="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3">
      <c r="A763" s="4"/>
      <c r="B763" s="4"/>
      <c r="C763" s="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3">
      <c r="A764" s="4"/>
      <c r="B764" s="4"/>
      <c r="C764" s="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3">
      <c r="A765" s="4"/>
      <c r="B765" s="4"/>
      <c r="C765" s="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3">
      <c r="A766" s="4"/>
      <c r="B766" s="4"/>
      <c r="C766" s="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3">
      <c r="A767" s="4"/>
      <c r="B767" s="4"/>
      <c r="C767" s="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3">
      <c r="A768" s="4"/>
      <c r="B768" s="4"/>
      <c r="C768" s="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3">
      <c r="A769" s="4"/>
      <c r="B769" s="4"/>
      <c r="C769" s="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3">
      <c r="A770" s="4"/>
      <c r="B770" s="4"/>
      <c r="C770" s="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3">
      <c r="A771" s="4"/>
      <c r="B771" s="4"/>
      <c r="C771" s="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3">
      <c r="A772" s="4"/>
      <c r="B772" s="4"/>
      <c r="C772" s="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3">
      <c r="A773" s="4"/>
      <c r="B773" s="4"/>
      <c r="C773" s="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3">
      <c r="A774" s="4"/>
      <c r="B774" s="4"/>
      <c r="C774" s="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3">
      <c r="A775" s="4"/>
      <c r="B775" s="4"/>
      <c r="C775" s="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3">
      <c r="A776" s="4"/>
      <c r="B776" s="4"/>
      <c r="C776" s="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3">
      <c r="A777" s="4"/>
      <c r="B777" s="4"/>
      <c r="C777" s="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3">
      <c r="A778" s="4"/>
      <c r="B778" s="4"/>
      <c r="C778" s="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3">
      <c r="A779" s="4"/>
      <c r="B779" s="4"/>
      <c r="C779" s="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3">
      <c r="A780" s="4"/>
      <c r="B780" s="4"/>
      <c r="C780" s="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3">
      <c r="A781" s="4"/>
      <c r="B781" s="4"/>
      <c r="C781" s="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3">
      <c r="A782" s="4"/>
      <c r="B782" s="4"/>
      <c r="C782" s="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3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3">
      <c r="A784" s="4"/>
      <c r="B784" s="4"/>
      <c r="C784" s="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3">
      <c r="A785" s="4"/>
      <c r="B785" s="4"/>
      <c r="C785" s="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3">
      <c r="A786" s="4"/>
      <c r="B786" s="4"/>
      <c r="C786" s="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3">
      <c r="A787" s="4"/>
      <c r="B787" s="4"/>
      <c r="C787" s="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3">
      <c r="A788" s="4"/>
      <c r="B788" s="4"/>
      <c r="C788" s="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3">
      <c r="A789" s="4"/>
      <c r="B789" s="4"/>
      <c r="C789" s="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3">
      <c r="A790" s="4"/>
      <c r="B790" s="4"/>
      <c r="C790" s="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3">
      <c r="A791" s="4"/>
      <c r="B791" s="4"/>
      <c r="C791" s="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3">
      <c r="A792" s="4"/>
      <c r="B792" s="4"/>
      <c r="C792" s="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3">
      <c r="A793" s="4"/>
      <c r="B793" s="4"/>
      <c r="C793" s="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3">
      <c r="A794" s="4"/>
      <c r="B794" s="4"/>
      <c r="C794" s="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3">
      <c r="A795" s="4"/>
      <c r="B795" s="4"/>
      <c r="C795" s="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3">
      <c r="A796" s="4"/>
      <c r="B796" s="4"/>
      <c r="C796" s="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3">
      <c r="A797" s="4"/>
      <c r="B797" s="4"/>
      <c r="C797" s="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3">
      <c r="A798" s="4"/>
      <c r="B798" s="4"/>
      <c r="C798" s="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3">
      <c r="A799" s="4"/>
      <c r="B799" s="4"/>
      <c r="C799" s="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3">
      <c r="A800" s="4"/>
      <c r="B800" s="4"/>
      <c r="C800" s="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3">
      <c r="A801" s="4"/>
      <c r="B801" s="4"/>
      <c r="C801" s="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3">
      <c r="A802" s="4"/>
      <c r="B802" s="4"/>
      <c r="C802" s="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3">
      <c r="A803" s="4"/>
      <c r="B803" s="4"/>
      <c r="C803" s="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3">
      <c r="A804" s="4"/>
      <c r="B804" s="4"/>
      <c r="C804" s="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3">
      <c r="A805" s="4"/>
      <c r="B805" s="4"/>
      <c r="C805" s="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3">
      <c r="A806" s="4"/>
      <c r="B806" s="4"/>
      <c r="C806" s="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3">
      <c r="A807" s="4"/>
      <c r="B807" s="4"/>
      <c r="C807" s="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3">
      <c r="A808" s="4"/>
      <c r="B808" s="4"/>
      <c r="C808" s="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3">
      <c r="A809" s="4"/>
      <c r="B809" s="4"/>
      <c r="C809" s="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3">
      <c r="A810" s="4"/>
      <c r="B810" s="4"/>
      <c r="C810" s="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3">
      <c r="A811" s="4"/>
      <c r="B811" s="4"/>
      <c r="C811" s="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3">
      <c r="A812" s="4"/>
      <c r="B812" s="4"/>
      <c r="C812" s="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3">
      <c r="A813" s="4"/>
      <c r="B813" s="4"/>
      <c r="C813" s="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3">
      <c r="A814" s="4"/>
      <c r="B814" s="4"/>
      <c r="C814" s="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3">
      <c r="A815" s="4"/>
      <c r="B815" s="4"/>
      <c r="C815" s="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3">
      <c r="A816" s="4"/>
      <c r="B816" s="4"/>
      <c r="C816" s="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3">
      <c r="A817" s="4"/>
      <c r="B817" s="4"/>
      <c r="C817" s="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3">
      <c r="A818" s="4"/>
      <c r="B818" s="4"/>
      <c r="C818" s="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3">
      <c r="A819" s="4"/>
      <c r="B819" s="4"/>
      <c r="C819" s="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3">
      <c r="A820" s="4"/>
      <c r="B820" s="4"/>
      <c r="C820" s="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3">
      <c r="A821" s="4"/>
      <c r="B821" s="4"/>
      <c r="C821" s="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3">
      <c r="A822" s="4"/>
      <c r="B822" s="4"/>
      <c r="C822" s="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3">
      <c r="A823" s="4"/>
      <c r="B823" s="4"/>
      <c r="C823" s="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3">
      <c r="A824" s="4"/>
      <c r="B824" s="4"/>
      <c r="C824" s="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3">
      <c r="A825" s="4"/>
      <c r="B825" s="4"/>
      <c r="C825" s="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3">
      <c r="A826" s="4"/>
      <c r="B826" s="4"/>
      <c r="C826" s="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3">
      <c r="A827" s="4"/>
      <c r="B827" s="4"/>
      <c r="C827" s="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3">
      <c r="A828" s="4"/>
      <c r="B828" s="4"/>
      <c r="C828" s="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3">
      <c r="A829" s="4"/>
      <c r="B829" s="4"/>
      <c r="C829" s="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3">
      <c r="A830" s="4"/>
      <c r="B830" s="4"/>
      <c r="C830" s="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3">
      <c r="A831" s="4"/>
      <c r="B831" s="4"/>
      <c r="C831" s="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3">
      <c r="A832" s="4"/>
      <c r="B832" s="4"/>
      <c r="C832" s="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3">
      <c r="A833" s="4"/>
      <c r="B833" s="4"/>
      <c r="C833" s="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3">
      <c r="A834" s="4"/>
      <c r="B834" s="4"/>
      <c r="C834" s="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3">
      <c r="A835" s="4"/>
      <c r="B835" s="4"/>
      <c r="C835" s="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3">
      <c r="A836" s="4"/>
      <c r="B836" s="4"/>
      <c r="C836" s="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3">
      <c r="A837" s="4"/>
      <c r="B837" s="4"/>
      <c r="C837" s="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3">
      <c r="A838" s="4"/>
      <c r="B838" s="4"/>
      <c r="C838" s="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3">
      <c r="A839" s="4"/>
      <c r="B839" s="4"/>
      <c r="C839" s="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3">
      <c r="A840" s="4"/>
      <c r="B840" s="4"/>
      <c r="C840" s="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3">
      <c r="A841" s="4"/>
      <c r="B841" s="4"/>
      <c r="C841" s="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3">
      <c r="A842" s="4"/>
      <c r="B842" s="4"/>
      <c r="C842" s="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3">
      <c r="A843" s="4"/>
      <c r="B843" s="4"/>
      <c r="C843" s="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3">
      <c r="A844" s="4"/>
      <c r="B844" s="4"/>
      <c r="C844" s="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3">
      <c r="A845" s="4"/>
      <c r="B845" s="4"/>
      <c r="C845" s="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3">
      <c r="A846" s="4"/>
      <c r="B846" s="4"/>
      <c r="C846" s="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3">
      <c r="A847" s="4"/>
      <c r="B847" s="4"/>
      <c r="C847" s="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3">
      <c r="A848" s="4"/>
      <c r="B848" s="4"/>
      <c r="C848" s="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3">
      <c r="A849" s="4"/>
      <c r="B849" s="4"/>
      <c r="C849" s="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3">
      <c r="A850" s="4"/>
      <c r="B850" s="4"/>
      <c r="C850" s="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3">
      <c r="A851" s="4"/>
      <c r="B851" s="4"/>
      <c r="C851" s="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3">
      <c r="A852" s="4"/>
      <c r="B852" s="4"/>
      <c r="C852" s="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3">
      <c r="A853" s="4"/>
      <c r="B853" s="4"/>
      <c r="C853" s="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3">
      <c r="A854" s="4"/>
      <c r="B854" s="4"/>
      <c r="C854" s="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3">
      <c r="A855" s="4"/>
      <c r="B855" s="4"/>
      <c r="C855" s="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3">
      <c r="A856" s="4"/>
      <c r="B856" s="4"/>
      <c r="C856" s="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3">
      <c r="A857" s="4"/>
      <c r="B857" s="4"/>
      <c r="C857" s="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3">
      <c r="A858" s="4"/>
      <c r="B858" s="4"/>
      <c r="C858" s="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3">
      <c r="A859" s="4"/>
      <c r="B859" s="4"/>
      <c r="C859" s="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3">
      <c r="A860" s="4"/>
      <c r="B860" s="4"/>
      <c r="C860" s="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3">
      <c r="A861" s="4"/>
      <c r="B861" s="4"/>
      <c r="C861" s="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3">
      <c r="A862" s="4"/>
      <c r="B862" s="4"/>
      <c r="C862" s="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3">
      <c r="A863" s="4"/>
      <c r="B863" s="4"/>
      <c r="C863" s="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3">
      <c r="A864" s="4"/>
      <c r="B864" s="4"/>
      <c r="C864" s="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3">
      <c r="A865" s="4"/>
      <c r="B865" s="4"/>
      <c r="C865" s="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3">
      <c r="A866" s="4"/>
      <c r="B866" s="4"/>
      <c r="C866" s="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3">
      <c r="A867" s="4"/>
      <c r="B867" s="4"/>
      <c r="C867" s="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3">
      <c r="A868" s="4"/>
      <c r="B868" s="4"/>
      <c r="C868" s="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3">
      <c r="A869" s="4"/>
      <c r="B869" s="4"/>
      <c r="C869" s="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3">
      <c r="A870" s="4"/>
      <c r="B870" s="4"/>
      <c r="C870" s="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3">
      <c r="A871" s="4"/>
      <c r="B871" s="4"/>
      <c r="C871" s="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3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3">
      <c r="A873" s="4"/>
      <c r="B873" s="4"/>
      <c r="C873" s="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3">
      <c r="A874" s="4"/>
      <c r="B874" s="4"/>
      <c r="C874" s="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3">
      <c r="A875" s="4"/>
      <c r="B875" s="4"/>
      <c r="C875" s="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3">
      <c r="A876" s="4"/>
      <c r="B876" s="4"/>
      <c r="C876" s="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3">
      <c r="A877" s="4"/>
      <c r="B877" s="4"/>
      <c r="C877" s="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3">
      <c r="A878" s="4"/>
      <c r="B878" s="4"/>
      <c r="C878" s="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3">
      <c r="A879" s="4"/>
      <c r="B879" s="4"/>
      <c r="C879" s="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3">
      <c r="A880" s="4"/>
      <c r="B880" s="4"/>
      <c r="C880" s="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3">
      <c r="A881" s="4"/>
      <c r="B881" s="4"/>
      <c r="C881" s="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3">
      <c r="A882" s="4"/>
      <c r="B882" s="4"/>
      <c r="C882" s="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3">
      <c r="A883" s="4"/>
      <c r="B883" s="4"/>
      <c r="C883" s="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3">
      <c r="A884" s="4"/>
      <c r="B884" s="4"/>
      <c r="C884" s="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3">
      <c r="A885" s="4"/>
      <c r="B885" s="4"/>
      <c r="C885" s="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3">
      <c r="A886" s="4"/>
      <c r="B886" s="4"/>
      <c r="C886" s="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3">
      <c r="A887" s="4"/>
      <c r="B887" s="4"/>
      <c r="C887" s="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3">
      <c r="A888" s="4"/>
      <c r="B888" s="4"/>
      <c r="C888" s="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3">
      <c r="A889" s="4"/>
      <c r="B889" s="4"/>
      <c r="C889" s="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3">
      <c r="A890" s="4"/>
      <c r="B890" s="4"/>
      <c r="C890" s="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3">
      <c r="A891" s="4"/>
      <c r="B891" s="4"/>
      <c r="C891" s="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3">
      <c r="A892" s="4"/>
      <c r="B892" s="4"/>
      <c r="C892" s="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3">
      <c r="A893" s="4"/>
      <c r="B893" s="4"/>
      <c r="C893" s="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3">
      <c r="A894" s="4"/>
      <c r="B894" s="4"/>
      <c r="C894" s="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3">
      <c r="A895" s="4"/>
      <c r="B895" s="4"/>
      <c r="C895" s="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3">
      <c r="A896" s="4"/>
      <c r="B896" s="4"/>
      <c r="C896" s="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3">
      <c r="A897" s="4"/>
      <c r="B897" s="4"/>
      <c r="C897" s="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3">
      <c r="A898" s="4"/>
      <c r="B898" s="4"/>
      <c r="C898" s="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3">
      <c r="A899" s="4"/>
      <c r="B899" s="4"/>
      <c r="C899" s="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3">
      <c r="A900" s="4"/>
      <c r="B900" s="4"/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3">
      <c r="A901" s="4"/>
      <c r="B901" s="4"/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3">
      <c r="A902" s="4"/>
      <c r="B902" s="4"/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3">
      <c r="A903" s="4"/>
      <c r="B903" s="4"/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3">
      <c r="A904" s="4"/>
      <c r="B904" s="4"/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3">
      <c r="A905" s="4"/>
      <c r="B905" s="4"/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3">
      <c r="A906" s="4"/>
      <c r="B906" s="4"/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3">
      <c r="A907" s="4"/>
      <c r="B907" s="4"/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3">
      <c r="A908" s="4"/>
      <c r="B908" s="4"/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3">
      <c r="A909" s="4"/>
      <c r="B909" s="4"/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3">
      <c r="A910" s="4"/>
      <c r="B910" s="4"/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3">
      <c r="A911" s="4"/>
      <c r="B911" s="4"/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3">
      <c r="A912" s="4"/>
      <c r="B912" s="4"/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3">
      <c r="A913" s="4"/>
      <c r="B913" s="4"/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3">
      <c r="A914" s="4"/>
      <c r="B914" s="4"/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3">
      <c r="A915" s="4"/>
      <c r="B915" s="4"/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3">
      <c r="A916" s="4"/>
      <c r="B916" s="4"/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3">
      <c r="A917" s="4"/>
      <c r="B917" s="4"/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3">
      <c r="A918" s="4"/>
      <c r="B918" s="4"/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3">
      <c r="A919" s="4"/>
      <c r="B919" s="4"/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3">
      <c r="A920" s="4"/>
      <c r="B920" s="4"/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3">
      <c r="A921" s="4"/>
      <c r="B921" s="4"/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3">
      <c r="A922" s="4"/>
      <c r="B922" s="4"/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3">
      <c r="A923" s="4"/>
      <c r="B923" s="4"/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3">
      <c r="A924" s="4"/>
      <c r="B924" s="4"/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3">
      <c r="A925" s="4"/>
      <c r="B925" s="4"/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3">
      <c r="A926" s="4"/>
      <c r="B926" s="4"/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3">
      <c r="A927" s="4"/>
      <c r="B927" s="4"/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3">
      <c r="A928" s="4"/>
      <c r="B928" s="4"/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3">
      <c r="A929" s="4"/>
      <c r="B929" s="4"/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3">
      <c r="A930" s="4"/>
      <c r="B930" s="4"/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3">
      <c r="A931" s="4"/>
      <c r="B931" s="4"/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3">
      <c r="A932" s="4"/>
      <c r="B932" s="4"/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3">
      <c r="A933" s="4"/>
      <c r="B933" s="4"/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3">
      <c r="A934" s="4"/>
      <c r="B934" s="4"/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3">
      <c r="A935" s="4"/>
      <c r="B935" s="4"/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3">
      <c r="A936" s="4"/>
      <c r="B936" s="4"/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3">
      <c r="A937" s="4"/>
      <c r="B937" s="4"/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3">
      <c r="A938" s="4"/>
      <c r="B938" s="4"/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3">
      <c r="A939" s="4"/>
      <c r="B939" s="4"/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3">
      <c r="A940" s="4"/>
      <c r="B940" s="4"/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3">
      <c r="A941" s="4"/>
      <c r="B941" s="4"/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3">
      <c r="A942" s="4"/>
      <c r="B942" s="4"/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3">
      <c r="A943" s="4"/>
      <c r="B943" s="4"/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3">
      <c r="A944" s="4"/>
      <c r="B944" s="4"/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3">
      <c r="A945" s="4"/>
      <c r="B945" s="4"/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3">
      <c r="A946" s="4"/>
      <c r="B946" s="4"/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3">
      <c r="A947" s="4"/>
      <c r="B947" s="4"/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3">
      <c r="A948" s="4"/>
      <c r="B948" s="4"/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3">
      <c r="A949" s="4"/>
      <c r="B949" s="4"/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3">
      <c r="A950" s="4"/>
      <c r="B950" s="4"/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3">
      <c r="A951" s="4"/>
      <c r="B951" s="4"/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3">
      <c r="A952" s="4"/>
      <c r="B952" s="4"/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3">
      <c r="A953" s="4"/>
      <c r="B953" s="4"/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3">
      <c r="A954" s="4"/>
      <c r="B954" s="4"/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3">
      <c r="A955" s="4"/>
      <c r="B955" s="4"/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3">
      <c r="A956" s="4"/>
      <c r="B956" s="4"/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3">
      <c r="A957" s="4"/>
      <c r="B957" s="4"/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3">
      <c r="A958" s="4"/>
      <c r="B958" s="4"/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3">
      <c r="A959" s="4"/>
      <c r="B959" s="4"/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3">
      <c r="A960" s="4"/>
      <c r="B960" s="4"/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3">
      <c r="A961" s="4"/>
      <c r="B961" s="4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3">
      <c r="A962" s="4"/>
      <c r="B962" s="4"/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3">
      <c r="A963" s="4"/>
      <c r="B963" s="4"/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3">
      <c r="A964" s="4"/>
      <c r="B964" s="4"/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3">
      <c r="A965" s="4"/>
      <c r="B965" s="4"/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3">
      <c r="A966" s="4"/>
      <c r="B966" s="4"/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3">
      <c r="A967" s="4"/>
      <c r="B967" s="4"/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3">
      <c r="A968" s="4"/>
      <c r="B968" s="4"/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3">
      <c r="A969" s="4"/>
      <c r="B969" s="4"/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3">
      <c r="A970" s="4"/>
      <c r="B970" s="4"/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3">
      <c r="A971" s="4"/>
      <c r="B971" s="4"/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3">
      <c r="A972" s="4"/>
      <c r="B972" s="4"/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3">
      <c r="A973" s="4"/>
      <c r="B973" s="4"/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3">
      <c r="A974" s="4"/>
      <c r="B974" s="4"/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3">
      <c r="A975" s="4"/>
      <c r="B975" s="4"/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3">
      <c r="A976" s="4"/>
      <c r="B976" s="4"/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3">
      <c r="A977" s="4"/>
      <c r="B977" s="4"/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3">
      <c r="A978" s="4"/>
      <c r="B978" s="4"/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3">
      <c r="A979" s="4"/>
      <c r="B979" s="4"/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3">
      <c r="A980" s="4"/>
      <c r="B980" s="4"/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3">
      <c r="A981" s="4"/>
      <c r="B981" s="4"/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3">
      <c r="A982" s="4"/>
      <c r="B982" s="4"/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3">
      <c r="A983" s="4"/>
      <c r="B983" s="4"/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3">
      <c r="A984" s="4"/>
      <c r="B984" s="4"/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3">
      <c r="A985" s="4"/>
      <c r="B985" s="4"/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3">
      <c r="A986" s="4"/>
      <c r="B986" s="4"/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3">
      <c r="A987" s="4"/>
      <c r="B987" s="4"/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3">
      <c r="A988" s="4"/>
      <c r="B988" s="4"/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3">
      <c r="A989" s="4"/>
      <c r="B989" s="4"/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3">
      <c r="A990" s="4"/>
      <c r="B990" s="4"/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3">
      <c r="A991" s="4"/>
      <c r="B991" s="4"/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3">
      <c r="A992" s="4"/>
      <c r="B992" s="4"/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3">
      <c r="A993" s="4"/>
      <c r="B993" s="4"/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3">
      <c r="A994" s="4"/>
      <c r="B994" s="4"/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2.75" customHeight="1" x14ac:dyDescent="0.3">
      <c r="A995" s="4"/>
      <c r="B995" s="4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2.75" customHeight="1" x14ac:dyDescent="0.3">
      <c r="A996" s="4"/>
      <c r="B996" s="4"/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2.75" customHeight="1" x14ac:dyDescent="0.3">
      <c r="A997" s="4"/>
      <c r="B997" s="4"/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C3" sqref="C3"/>
    </sheetView>
  </sheetViews>
  <sheetFormatPr defaultColWidth="14.3984375" defaultRowHeight="15" customHeight="1" x14ac:dyDescent="0.3"/>
  <cols>
    <col min="1" max="1" width="16.296875" customWidth="1"/>
    <col min="2" max="2" width="18.59765625" customWidth="1"/>
    <col min="3" max="3" width="19.296875" customWidth="1"/>
    <col min="4" max="4" width="14" customWidth="1"/>
    <col min="5" max="5" width="9.296875" customWidth="1"/>
    <col min="6" max="6" width="11.3984375" customWidth="1"/>
    <col min="7" max="7" width="14.296875" customWidth="1"/>
    <col min="8" max="8" width="8" customWidth="1"/>
    <col min="9" max="26" width="9.296875" customWidth="1"/>
  </cols>
  <sheetData>
    <row r="1" spans="1:26" ht="12.75" customHeight="1" x14ac:dyDescent="0.3">
      <c r="A1" s="6" t="s">
        <v>484</v>
      </c>
      <c r="B1" s="6" t="s">
        <v>485</v>
      </c>
      <c r="C1" s="16" t="s">
        <v>572</v>
      </c>
      <c r="D1" s="4"/>
      <c r="E1" s="17" t="s">
        <v>571</v>
      </c>
      <c r="F1" s="17" t="s">
        <v>572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7" t="s">
        <v>486</v>
      </c>
      <c r="B2" s="7">
        <v>40</v>
      </c>
      <c r="C2" s="7" t="str">
        <f>VLOOKUP(Table_1[[#This Row],[Column2]],E:F,2,FALSE)</f>
        <v>SUFFICIENTE</v>
      </c>
      <c r="D2" s="8"/>
      <c r="E2" s="8">
        <v>0</v>
      </c>
      <c r="F2" s="8" t="s">
        <v>573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3">
      <c r="A3" s="7" t="s">
        <v>487</v>
      </c>
      <c r="B3" s="7">
        <v>60</v>
      </c>
      <c r="C3" s="7" t="str">
        <f>VLOOKUP(Table_1[[#This Row],[Column2]],E:F,2,FALSE)</f>
        <v>DISCRETO</v>
      </c>
      <c r="E3" s="8">
        <v>40</v>
      </c>
      <c r="F3" s="8" t="s">
        <v>574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7" t="s">
        <v>488</v>
      </c>
      <c r="B4" s="7">
        <v>60</v>
      </c>
      <c r="C4" s="7" t="str">
        <f>VLOOKUP(Table_1[[#This Row],[Column2]],E:F,2,FALSE)</f>
        <v>DISCRETO</v>
      </c>
      <c r="E4" s="8">
        <v>60</v>
      </c>
      <c r="F4" s="8" t="s">
        <v>576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7" t="s">
        <v>489</v>
      </c>
      <c r="B5" s="7">
        <v>40</v>
      </c>
      <c r="C5" s="7" t="str">
        <f>VLOOKUP(Table_1[[#This Row],[Column2]],E:F,2,FALSE)</f>
        <v>SUFFICIENTE</v>
      </c>
      <c r="E5" s="8">
        <v>70</v>
      </c>
      <c r="F5" s="8" t="s">
        <v>575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3">
      <c r="A6" s="7" t="s">
        <v>490</v>
      </c>
      <c r="B6" s="7">
        <v>70</v>
      </c>
      <c r="C6" s="7" t="str">
        <f>VLOOKUP(Table_1[[#This Row],[Column2]],E:F,2,FALSE)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" t="s">
        <v>491</v>
      </c>
      <c r="B7" s="7">
        <v>0</v>
      </c>
      <c r="C7" s="7" t="str">
        <f>VLOOKUP(Table_1[[#This Row],[Column2]],E:F,2,FALSE)</f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3">
      <c r="A8" s="7" t="s">
        <v>492</v>
      </c>
      <c r="B8" s="7">
        <v>0</v>
      </c>
      <c r="C8" s="7" t="str">
        <f>VLOOKUP(Table_1[[#This Row],[Column2]],E:F,2,FALSE)</f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selection activeCell="N2" sqref="N2:N49"/>
    </sheetView>
  </sheetViews>
  <sheetFormatPr defaultColWidth="14.3984375" defaultRowHeight="15" customHeight="1" x14ac:dyDescent="0.3"/>
  <cols>
    <col min="1" max="1" width="9.8984375" customWidth="1"/>
    <col min="2" max="2" width="28.296875" customWidth="1"/>
    <col min="3" max="3" width="21.296875" customWidth="1"/>
    <col min="4" max="4" width="18" customWidth="1"/>
    <col min="5" max="5" width="21.69921875" customWidth="1"/>
    <col min="6" max="6" width="3.69921875" customWidth="1"/>
    <col min="7" max="8" width="15.8984375" customWidth="1"/>
    <col min="9" max="9" width="23.296875" customWidth="1"/>
    <col min="10" max="11" width="8.69921875" customWidth="1"/>
    <col min="12" max="12" width="28.296875" customWidth="1"/>
    <col min="13" max="13" width="16.796875" customWidth="1"/>
    <col min="14" max="14" width="26.296875" customWidth="1"/>
    <col min="15" max="24" width="8.69921875" customWidth="1"/>
  </cols>
  <sheetData>
    <row r="1" spans="1:24" ht="13.5" customHeight="1" thickBot="1" x14ac:dyDescent="0.45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8" t="s">
        <v>582</v>
      </c>
      <c r="H1" s="18" t="s">
        <v>581</v>
      </c>
      <c r="I1" s="18" t="s">
        <v>583</v>
      </c>
      <c r="J1" s="11"/>
      <c r="K1" s="11"/>
      <c r="L1" s="9" t="s">
        <v>494</v>
      </c>
      <c r="M1" s="18" t="s">
        <v>581</v>
      </c>
      <c r="N1" s="18" t="s">
        <v>583</v>
      </c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thickTop="1" x14ac:dyDescent="0.3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s="19" t="s">
        <v>577</v>
      </c>
      <c r="H2" s="19">
        <f>COUNTIF(C:C,G2)</f>
        <v>11</v>
      </c>
      <c r="I2">
        <f>SUMIF(C:C,G2,D:D)</f>
        <v>611780</v>
      </c>
      <c r="L2" s="13" t="s">
        <v>498</v>
      </c>
      <c r="M2">
        <f>COUNTIF(B:B,L2)</f>
        <v>2</v>
      </c>
      <c r="N2">
        <f>SUMIF(B:B,L2,D:D)</f>
        <v>100000</v>
      </c>
    </row>
    <row r="3" spans="1:24" ht="13.5" customHeight="1" x14ac:dyDescent="0.3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s="19" t="s">
        <v>578</v>
      </c>
      <c r="H3" s="19">
        <f t="shared" ref="H3:H5" si="0">COUNTIF(C:C,G3)</f>
        <v>5</v>
      </c>
      <c r="I3">
        <f>SUMIF(C:C,G3,D:D)</f>
        <v>30860</v>
      </c>
      <c r="L3" s="13" t="s">
        <v>500</v>
      </c>
      <c r="M3">
        <f t="shared" ref="M3:M49" si="1">COUNTIF(B:B,L3)</f>
        <v>1</v>
      </c>
      <c r="N3">
        <f t="shared" ref="N3:N49" si="2">SUMIF(B:B,L3,D:D)</f>
        <v>29970</v>
      </c>
    </row>
    <row r="4" spans="1:24" ht="13.5" customHeight="1" x14ac:dyDescent="0.3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s="19" t="s">
        <v>579</v>
      </c>
      <c r="H4" s="19">
        <f t="shared" si="0"/>
        <v>4</v>
      </c>
      <c r="I4">
        <f t="shared" ref="I3:I5" si="3">SUMIF(C:C,G4,D:D)</f>
        <v>54000</v>
      </c>
      <c r="L4" s="13" t="s">
        <v>501</v>
      </c>
      <c r="M4">
        <f t="shared" si="1"/>
        <v>2</v>
      </c>
      <c r="N4">
        <f t="shared" si="2"/>
        <v>73450</v>
      </c>
    </row>
    <row r="5" spans="1:24" ht="13.5" customHeight="1" x14ac:dyDescent="0.3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s="19" t="s">
        <v>580</v>
      </c>
      <c r="H5" s="19">
        <f t="shared" si="0"/>
        <v>4</v>
      </c>
      <c r="I5">
        <f t="shared" si="3"/>
        <v>6765600</v>
      </c>
      <c r="L5" s="13" t="s">
        <v>503</v>
      </c>
      <c r="M5">
        <f t="shared" si="1"/>
        <v>3</v>
      </c>
      <c r="N5">
        <f t="shared" si="2"/>
        <v>408460</v>
      </c>
    </row>
    <row r="6" spans="1:24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  <c r="L6" s="13" t="s">
        <v>505</v>
      </c>
      <c r="M6">
        <f t="shared" si="1"/>
        <v>4</v>
      </c>
      <c r="N6">
        <f t="shared" si="2"/>
        <v>54000</v>
      </c>
    </row>
    <row r="7" spans="1:24" ht="13.5" customHeight="1" x14ac:dyDescent="0.3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L7" s="13" t="s">
        <v>507</v>
      </c>
      <c r="M7">
        <f t="shared" si="1"/>
        <v>1</v>
      </c>
      <c r="N7">
        <f t="shared" si="2"/>
        <v>50800</v>
      </c>
    </row>
    <row r="8" spans="1:24" ht="13.5" customHeight="1" x14ac:dyDescent="0.3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L8" s="13" t="s">
        <v>509</v>
      </c>
      <c r="M8">
        <f t="shared" si="1"/>
        <v>1</v>
      </c>
      <c r="N8">
        <f t="shared" si="2"/>
        <v>98450</v>
      </c>
    </row>
    <row r="9" spans="1:24" ht="13.5" customHeight="1" x14ac:dyDescent="0.3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L9" s="13" t="s">
        <v>511</v>
      </c>
      <c r="M9">
        <f t="shared" si="1"/>
        <v>1</v>
      </c>
      <c r="N9">
        <f t="shared" si="2"/>
        <v>7950</v>
      </c>
    </row>
    <row r="10" spans="1:24" ht="13.5" customHeight="1" x14ac:dyDescent="0.3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L10" s="13" t="s">
        <v>513</v>
      </c>
      <c r="M10">
        <f t="shared" si="1"/>
        <v>1</v>
      </c>
      <c r="N10">
        <f t="shared" si="2"/>
        <v>87450</v>
      </c>
    </row>
    <row r="11" spans="1:24" ht="13.5" customHeight="1" x14ac:dyDescent="0.3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L11" s="13" t="s">
        <v>514</v>
      </c>
      <c r="M11">
        <f t="shared" si="1"/>
        <v>1</v>
      </c>
      <c r="N11">
        <f t="shared" si="2"/>
        <v>295000</v>
      </c>
    </row>
    <row r="12" spans="1:24" ht="13.5" customHeight="1" x14ac:dyDescent="0.3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L12" s="13" t="s">
        <v>517</v>
      </c>
      <c r="M12">
        <f t="shared" si="1"/>
        <v>2</v>
      </c>
      <c r="N12">
        <f t="shared" si="2"/>
        <v>254980</v>
      </c>
    </row>
    <row r="13" spans="1:24" ht="13.5" customHeight="1" x14ac:dyDescent="0.3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L13" s="13" t="s">
        <v>519</v>
      </c>
      <c r="M13">
        <f t="shared" si="1"/>
        <v>2</v>
      </c>
      <c r="N13">
        <f t="shared" si="2"/>
        <v>136700</v>
      </c>
    </row>
    <row r="14" spans="1:24" ht="13.5" customHeight="1" x14ac:dyDescent="0.3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L14" s="13" t="s">
        <v>520</v>
      </c>
      <c r="M14">
        <f t="shared" si="1"/>
        <v>1</v>
      </c>
      <c r="N14">
        <f t="shared" si="2"/>
        <v>201000</v>
      </c>
    </row>
    <row r="15" spans="1:24" ht="13.5" customHeight="1" x14ac:dyDescent="0.3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  <c r="L15" s="13" t="s">
        <v>522</v>
      </c>
      <c r="M15">
        <f t="shared" si="1"/>
        <v>1</v>
      </c>
      <c r="N15">
        <f t="shared" si="2"/>
        <v>1368000</v>
      </c>
    </row>
    <row r="16" spans="1:24" ht="13.5" customHeight="1" x14ac:dyDescent="0.3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  <c r="L16" s="13" t="s">
        <v>523</v>
      </c>
      <c r="M16">
        <f t="shared" si="1"/>
        <v>1</v>
      </c>
      <c r="N16">
        <f t="shared" si="2"/>
        <v>36850</v>
      </c>
    </row>
    <row r="17" spans="1:14" ht="13.5" customHeight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  <c r="L17" s="13" t="s">
        <v>525</v>
      </c>
      <c r="M17">
        <f t="shared" si="1"/>
        <v>4</v>
      </c>
      <c r="N17">
        <f t="shared" si="2"/>
        <v>283000</v>
      </c>
    </row>
    <row r="18" spans="1:14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  <c r="L18" s="13" t="s">
        <v>526</v>
      </c>
      <c r="M18">
        <f t="shared" si="1"/>
        <v>3</v>
      </c>
      <c r="N18">
        <f t="shared" si="2"/>
        <v>54000</v>
      </c>
    </row>
    <row r="19" spans="1:14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  <c r="L19" s="13" t="s">
        <v>528</v>
      </c>
      <c r="M19">
        <f t="shared" si="1"/>
        <v>2</v>
      </c>
      <c r="N19">
        <f t="shared" si="2"/>
        <v>107700</v>
      </c>
    </row>
    <row r="20" spans="1:14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  <c r="L20" s="13" t="s">
        <v>529</v>
      </c>
      <c r="M20">
        <f t="shared" si="1"/>
        <v>1</v>
      </c>
      <c r="N20">
        <f t="shared" si="2"/>
        <v>27270</v>
      </c>
    </row>
    <row r="21" spans="1:14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  <c r="L21" s="13" t="s">
        <v>531</v>
      </c>
      <c r="M21">
        <f t="shared" si="1"/>
        <v>3</v>
      </c>
      <c r="N21">
        <f t="shared" si="2"/>
        <v>40350</v>
      </c>
    </row>
    <row r="22" spans="1:14" ht="13.5" customHeight="1" x14ac:dyDescent="0.3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  <c r="L22" s="13" t="s">
        <v>532</v>
      </c>
      <c r="M22">
        <f t="shared" si="1"/>
        <v>2</v>
      </c>
      <c r="N22">
        <f t="shared" si="2"/>
        <v>215300</v>
      </c>
    </row>
    <row r="23" spans="1:14" ht="13.5" customHeight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  <c r="L23" s="13" t="s">
        <v>533</v>
      </c>
      <c r="M23">
        <f t="shared" si="1"/>
        <v>2</v>
      </c>
      <c r="N23">
        <f t="shared" si="2"/>
        <v>367800</v>
      </c>
    </row>
    <row r="24" spans="1:14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  <c r="L24" s="13" t="s">
        <v>534</v>
      </c>
      <c r="M24">
        <f t="shared" si="1"/>
        <v>1</v>
      </c>
      <c r="N24">
        <f t="shared" si="2"/>
        <v>43500</v>
      </c>
    </row>
    <row r="25" spans="1:14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  <c r="L25" s="13" t="s">
        <v>536</v>
      </c>
      <c r="M25">
        <f t="shared" si="1"/>
        <v>1</v>
      </c>
      <c r="N25">
        <f t="shared" si="2"/>
        <v>10730</v>
      </c>
    </row>
    <row r="26" spans="1:14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  <c r="L26" s="13" t="s">
        <v>537</v>
      </c>
      <c r="M26">
        <f t="shared" si="1"/>
        <v>1</v>
      </c>
      <c r="N26">
        <f t="shared" si="2"/>
        <v>11210</v>
      </c>
    </row>
    <row r="27" spans="1:14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  <c r="L27" s="13" t="s">
        <v>538</v>
      </c>
      <c r="M27">
        <f t="shared" si="1"/>
        <v>2</v>
      </c>
      <c r="N27">
        <f t="shared" si="2"/>
        <v>206480</v>
      </c>
    </row>
    <row r="28" spans="1:14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  <c r="L28" s="13" t="s">
        <v>539</v>
      </c>
      <c r="M28">
        <f t="shared" si="1"/>
        <v>1</v>
      </c>
      <c r="N28">
        <f t="shared" si="2"/>
        <v>20000</v>
      </c>
    </row>
    <row r="29" spans="1:14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  <c r="L29" s="13" t="s">
        <v>541</v>
      </c>
      <c r="M29">
        <f t="shared" si="1"/>
        <v>1</v>
      </c>
      <c r="N29">
        <f t="shared" si="2"/>
        <v>7850</v>
      </c>
    </row>
    <row r="30" spans="1:14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  <c r="L30" s="13" t="s">
        <v>542</v>
      </c>
      <c r="M30">
        <f t="shared" si="1"/>
        <v>2</v>
      </c>
      <c r="N30">
        <f t="shared" si="2"/>
        <v>11950</v>
      </c>
    </row>
    <row r="31" spans="1:14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  <c r="L31" s="13" t="s">
        <v>544</v>
      </c>
      <c r="M31">
        <f t="shared" si="1"/>
        <v>1</v>
      </c>
      <c r="N31">
        <f t="shared" si="2"/>
        <v>16650</v>
      </c>
    </row>
    <row r="32" spans="1:14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  <c r="L32" s="13" t="s">
        <v>546</v>
      </c>
      <c r="M32">
        <f t="shared" si="1"/>
        <v>3</v>
      </c>
      <c r="N32">
        <f t="shared" si="2"/>
        <v>6710000</v>
      </c>
    </row>
    <row r="33" spans="1:14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  <c r="L33" s="13" t="s">
        <v>548</v>
      </c>
      <c r="M33">
        <f t="shared" si="1"/>
        <v>3</v>
      </c>
      <c r="N33">
        <f t="shared" si="2"/>
        <v>33510</v>
      </c>
    </row>
    <row r="34" spans="1:14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  <c r="L34" s="13" t="s">
        <v>549</v>
      </c>
      <c r="M34">
        <f t="shared" si="1"/>
        <v>1</v>
      </c>
      <c r="N34">
        <f t="shared" si="2"/>
        <v>21000</v>
      </c>
    </row>
    <row r="35" spans="1:14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  <c r="L35" s="13" t="s">
        <v>550</v>
      </c>
      <c r="M35">
        <f t="shared" si="1"/>
        <v>1</v>
      </c>
      <c r="N35">
        <f t="shared" si="2"/>
        <v>34900</v>
      </c>
    </row>
    <row r="36" spans="1:14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  <c r="L36" s="13" t="s">
        <v>552</v>
      </c>
      <c r="M36">
        <f t="shared" si="1"/>
        <v>2</v>
      </c>
      <c r="N36">
        <f t="shared" si="2"/>
        <v>56980</v>
      </c>
    </row>
    <row r="37" spans="1:14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  <c r="L37" s="13" t="s">
        <v>553</v>
      </c>
      <c r="M37">
        <f t="shared" si="1"/>
        <v>2</v>
      </c>
      <c r="N37">
        <f t="shared" si="2"/>
        <v>67400</v>
      </c>
    </row>
    <row r="38" spans="1:14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  <c r="L38" s="13" t="s">
        <v>554</v>
      </c>
      <c r="M38">
        <f t="shared" si="1"/>
        <v>1</v>
      </c>
      <c r="N38">
        <f t="shared" si="2"/>
        <v>55600</v>
      </c>
    </row>
    <row r="39" spans="1:14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  <c r="L39" s="13" t="s">
        <v>555</v>
      </c>
      <c r="M39">
        <f t="shared" si="1"/>
        <v>1</v>
      </c>
      <c r="N39">
        <f t="shared" si="2"/>
        <v>84500</v>
      </c>
    </row>
    <row r="40" spans="1:14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  <c r="L40" s="13" t="s">
        <v>557</v>
      </c>
      <c r="M40">
        <f t="shared" si="1"/>
        <v>2</v>
      </c>
      <c r="N40">
        <f t="shared" si="2"/>
        <v>10740</v>
      </c>
    </row>
    <row r="41" spans="1:14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  <c r="L41" s="13" t="s">
        <v>559</v>
      </c>
      <c r="M41">
        <f t="shared" si="1"/>
        <v>1</v>
      </c>
      <c r="N41">
        <f t="shared" si="2"/>
        <v>36300</v>
      </c>
    </row>
    <row r="42" spans="1:14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  <c r="L42" s="13" t="s">
        <v>560</v>
      </c>
      <c r="M42">
        <f t="shared" si="1"/>
        <v>2</v>
      </c>
      <c r="N42">
        <f t="shared" si="2"/>
        <v>15170</v>
      </c>
    </row>
    <row r="43" spans="1:14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  <c r="L43" s="13" t="s">
        <v>561</v>
      </c>
      <c r="M43">
        <f t="shared" si="1"/>
        <v>2</v>
      </c>
      <c r="N43">
        <f t="shared" si="2"/>
        <v>29000</v>
      </c>
    </row>
    <row r="44" spans="1:14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  <c r="L44" s="13" t="s">
        <v>563</v>
      </c>
      <c r="M44">
        <f t="shared" si="1"/>
        <v>1</v>
      </c>
      <c r="N44">
        <f t="shared" si="2"/>
        <v>29980</v>
      </c>
    </row>
    <row r="45" spans="1:14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  <c r="L45" s="13" t="s">
        <v>564</v>
      </c>
      <c r="M45">
        <f t="shared" si="1"/>
        <v>1</v>
      </c>
      <c r="N45">
        <f t="shared" si="2"/>
        <v>17950</v>
      </c>
    </row>
    <row r="46" spans="1:14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  <c r="L46" s="13" t="s">
        <v>565</v>
      </c>
      <c r="M46">
        <f t="shared" si="1"/>
        <v>1</v>
      </c>
      <c r="N46">
        <f t="shared" si="2"/>
        <v>27350</v>
      </c>
    </row>
    <row r="47" spans="1:14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  <c r="L47" s="13" t="s">
        <v>566</v>
      </c>
      <c r="M47">
        <f t="shared" si="1"/>
        <v>1</v>
      </c>
      <c r="N47">
        <f t="shared" si="2"/>
        <v>40650</v>
      </c>
    </row>
    <row r="48" spans="1:14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  <c r="L48" s="13" t="s">
        <v>567</v>
      </c>
      <c r="M48">
        <f t="shared" si="1"/>
        <v>2</v>
      </c>
      <c r="N48">
        <f t="shared" si="2"/>
        <v>51330</v>
      </c>
    </row>
    <row r="49" spans="1:14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  <c r="L49" s="13" t="s">
        <v>568</v>
      </c>
      <c r="M49">
        <f t="shared" si="1"/>
        <v>1</v>
      </c>
      <c r="N49">
        <f t="shared" si="2"/>
        <v>4950</v>
      </c>
    </row>
    <row r="50" spans="1:14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14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14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14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14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14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14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14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14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14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14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14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14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14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14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Andrea Morelli</cp:lastModifiedBy>
  <dcterms:created xsi:type="dcterms:W3CDTF">2005-04-12T12:35:30Z</dcterms:created>
  <dcterms:modified xsi:type="dcterms:W3CDTF">2025-12-11T14:54:57Z</dcterms:modified>
</cp:coreProperties>
</file>